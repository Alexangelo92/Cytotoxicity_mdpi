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auagpa-my.sharepoint.com/personal/konfilippou_aua_gr/Documents/Dimitrios Giannopoulos - A.N.I.P.H. - Horizon/Database_C_construction/"/>
    </mc:Choice>
  </mc:AlternateContent>
  <xr:revisionPtr revIDLastSave="0" documentId="8_{6FAC68F6-8AF9-42FB-810B-796C586EA4D5}" xr6:coauthVersionLast="47" xr6:coauthVersionMax="47" xr10:uidLastSave="{00000000-0000-0000-0000-000000000000}"/>
  <bookViews>
    <workbookView xWindow="2730" yWindow="2730" windowWidth="21600" windowHeight="11295" tabRatio="983" firstSheet="2" activeTab="2" xr2:uid="{00000000-000D-0000-FFFF-FFFF00000000}"/>
  </bookViews>
  <sheets>
    <sheet name="Polymer_info" sheetId="1" r:id="rId1"/>
    <sheet name="Cytotoxicity_Experimental_Param" sheetId="2" r:id="rId2"/>
    <sheet name="Cytotoxicity_Ouputs" sheetId="14" r:id="rId3"/>
    <sheet name="Metadata" sheetId="12" r:id="rId4"/>
    <sheet name="Info" sheetId="13" r:id="rId5"/>
  </sheets>
  <definedNames>
    <definedName name="_xlnm._FilterDatabase" localSheetId="1" hidden="1">Cytotoxicity_Experimental_Param!$A$1:$AB$441</definedName>
    <definedName name="_xlnm._FilterDatabase" localSheetId="0" hidden="1">Polymer_info!$A$1:$AT$1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njaIEUohbG8y1xS8cwLTR2jg+b9sqjGcGLtGqRH+bjk="/>
    </ext>
  </extLst>
</workbook>
</file>

<file path=xl/calcChain.xml><?xml version="1.0" encoding="utf-8"?>
<calcChain xmlns="http://schemas.openxmlformats.org/spreadsheetml/2006/main">
  <c r="E3" i="14" l="1"/>
  <c r="E2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D61" i="14"/>
  <c r="D60" i="14"/>
  <c r="D59" i="14"/>
  <c r="D58" i="14"/>
  <c r="D57" i="14"/>
  <c r="D56" i="14"/>
  <c r="D55" i="14"/>
  <c r="D54" i="14"/>
  <c r="D53" i="14"/>
  <c r="D148" i="14"/>
  <c r="D147" i="14"/>
  <c r="D146" i="14"/>
  <c r="D145" i="14"/>
  <c r="D144" i="14"/>
  <c r="D143" i="14"/>
  <c r="D142" i="14"/>
  <c r="D141" i="14"/>
  <c r="D140" i="14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169" i="1"/>
  <c r="AE170" i="1"/>
  <c r="AE171" i="1"/>
  <c r="AE172" i="1"/>
  <c r="AE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tc={83A1F684-94C3-4059-9991-02C33AF27C64}</author>
    <author/>
    <author>tc={27D7A59A-ACBE-48FD-842B-DA61DDEF9720}</author>
    <author>tc={DB843C03-961A-4852-8B8B-6CE390C4ABE0}</author>
    <author>tc={BEBA77B1-00F9-4675-8E08-6F47712BE345}</author>
  </authors>
  <commentList>
    <comment ref="Q1" authorId="0" shapeId="0" xr:uid="{83A1F684-94C3-4059-9991-02C33AF27C64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προσθέσω length, diameter_, height (Size_Length etc)</t>
      </text>
    </comment>
    <comment ref="C68" authorId="1" shapeId="0" xr:uid="{00000000-0006-0000-0000-000001000000}">
      <text>
        <r>
          <rPr>
            <sz val="11"/>
            <color theme="1"/>
            <rFont val="Calibri"/>
            <scheme val="minor"/>
          </rPr>
          <t>======
ID#AAABjke4Ss4
Konstantina Filippou    (2025-05-13 08:10:12)
https://www.chemsrc.com/en/cas/80181-31-3_332192.html 
Biopol</t>
        </r>
      </text>
    </comment>
    <comment ref="G140" authorId="2" shapeId="0" xr:uid="{27D7A59A-ACBE-48FD-842B-DA61DDEF9720}">
      <text>
        <t>[Threaded comment]
Your version of Excel allows you to read this threaded comment; however, any edits to it will get removed if the file is opened in a newer version of Excel. Learn more: https://go.microsoft.com/fwlink/?linkid=870924
Comment:
    του τελικού formulation</t>
      </text>
    </comment>
    <comment ref="G143" authorId="3" shapeId="0" xr:uid="{DB843C03-961A-4852-8B8B-6CE390C4ABE0}">
      <text>
        <t>[Threaded comment]
Your version of Excel allows you to read this threaded comment; however, any edits to it will get removed if the file is opened in a newer version of Excel. Learn more: https://go.microsoft.com/fwlink/?linkid=870924
Comment:
    του τελικού formulation</t>
      </text>
    </comment>
    <comment ref="G146" authorId="4" shapeId="0" xr:uid="{BEBA77B1-00F9-4675-8E08-6F47712BE345}">
      <text>
        <t>[Threaded comment]
Your version of Excel allows you to read this threaded comment; however, any edits to it will get removed if the file is opened in a newer version of Excel. Learn more: https://go.microsoft.com/fwlink/?linkid=870924
Comment:
    του τελικού formulation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GAO6EcVxXdKu2lWTmsTgCogX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tc={895C9EC6-F913-4F7A-8BA7-37D5AAF12A71}</author>
    <author/>
    <author>tc={F137A085-6A3E-47BB-86B1-5FE76D5384DA}</author>
  </authors>
  <commentList>
    <comment ref="O1" authorId="0" shapeId="0" xr:uid="{895C9EC6-F913-4F7A-8BA7-37D5AAF12A71}">
      <text>
        <t>[Threaded comment]
Your version of Excel allows you to read this threaded comment; however, any edits to it will get removed if the file is opened in a newer version of Excel. Learn more: https://go.microsoft.com/fwlink/?linkid=870924
Comment:
    Στήλη με συγκέντρωση</t>
      </text>
    </comment>
    <comment ref="E2" authorId="1" shapeId="0" xr:uid="{00000000-0006-0000-0100-000007000000}">
      <text>
        <r>
          <rPr>
            <sz val="11"/>
            <color theme="1"/>
            <rFont val="Calibri"/>
            <scheme val="minor"/>
          </rPr>
          <t>======
ID#AAABiP4ZQo4
Konstantina Filippou    (2025-04-28 08:07:52)
The assay quantifies the amount of LDH, which correlates with the extent of cell damage or death</t>
        </r>
      </text>
    </comment>
    <comment ref="Z2" authorId="1" shapeId="0" xr:uid="{00000000-0006-0000-0100-000008000000}">
      <text>
        <r>
          <rPr>
            <sz val="11"/>
            <color theme="1"/>
            <rFont val="Calibri"/>
            <scheme val="minor"/>
          </rPr>
          <t/>
        </r>
      </text>
    </comment>
    <comment ref="E22" authorId="1" shapeId="0" xr:uid="{00000000-0006-0000-0100-000004000000}">
      <text>
        <r>
          <rPr>
            <sz val="11"/>
            <color theme="1"/>
            <rFont val="Calibri"/>
            <scheme val="minor"/>
          </rPr>
          <t>======
ID#AAABilenJT4
Konstantina Filippou    (2025-04-29 07:55:27)
Measures metabolic activity by converting WST-8 dye into orange formazan</t>
        </r>
      </text>
    </comment>
    <comment ref="F22" authorId="1" shapeId="0" xr:uid="{00000000-0006-0000-0100-000006000000}">
      <text>
        <r>
          <rPr>
            <sz val="11"/>
            <color theme="1"/>
            <rFont val="Calibri"/>
            <scheme val="minor"/>
          </rPr>
          <t>======
ID#AAABilenJTo
Konstantina Filippou    (2025-04-29 07:53:28)
Human colon epithelial cells (clone HTB-37)</t>
        </r>
      </text>
    </comment>
    <comment ref="H22" authorId="1" shapeId="0" xr:uid="{00000000-0006-0000-0100-000003000000}">
      <text>
        <r>
          <rPr>
            <sz val="11"/>
            <color theme="1"/>
            <rFont val="Calibri"/>
            <scheme val="minor"/>
          </rPr>
          <t>======
ID#AAABivLPQs8
Konstantina Filippou    (2025-05-02 07:21:48)
film on medium</t>
        </r>
      </text>
    </comment>
    <comment ref="K22" authorId="1" shapeId="0" xr:uid="{00000000-0006-0000-0100-000005000000}">
      <text>
        <r>
          <rPr>
            <sz val="11"/>
            <color theme="1"/>
            <rFont val="Calibri"/>
            <scheme val="minor"/>
          </rPr>
          <t>======
ID#AAABilenJTs
Konstantina Filippou    (2025-04-29 07:54:16)
Minimum Essential Medium</t>
        </r>
      </text>
    </comment>
    <comment ref="E26" authorId="1" shapeId="0" xr:uid="{064AD4ED-EF3D-40F3-AA7D-6004B4ECAE81}">
      <text>
        <r>
          <rPr>
            <sz val="11"/>
            <color theme="1"/>
            <rFont val="Calibri"/>
            <scheme val="minor"/>
          </rPr>
          <t>======
ID#AAABilenJT4
Konstantina Filippou    (2025-04-29 07:55:27)
Measures metabolic activity by converting WST-8 dye into orange formazan</t>
        </r>
      </text>
    </comment>
    <comment ref="Q423" authorId="2" shapeId="0" xr:uid="{F137A085-6A3E-47BB-86B1-5FE76D5384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υπάρχουν κελια με αναδίπλωση!
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ehFC3dbPU8wmj0cwUfo78vI8b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ID#AAABjke4StA
Konstantina Filippou    (2025-05-13 08:42:40)
Relative Growth Rate</t>
        </r>
      </text>
    </comment>
    <comment ref="K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ID#AAABjke4StE
Konstantina Filippou    (2025-05-13 08:43:18)
0-4</t>
        </r>
      </text>
    </comment>
  </commentList>
</comments>
</file>

<file path=xl/sharedStrings.xml><?xml version="1.0" encoding="utf-8"?>
<sst xmlns="http://schemas.openxmlformats.org/spreadsheetml/2006/main" count="7535" uniqueCount="476">
  <si>
    <t>Study_id</t>
  </si>
  <si>
    <t>Instance</t>
  </si>
  <si>
    <t>Monomer_A</t>
  </si>
  <si>
    <t>Monomer_B</t>
  </si>
  <si>
    <t>HB_ratio</t>
  </si>
  <si>
    <t>HV_ratio</t>
  </si>
  <si>
    <t>Mw</t>
  </si>
  <si>
    <t>Mw_Units</t>
  </si>
  <si>
    <t>Mn</t>
  </si>
  <si>
    <t>Mn_Units</t>
  </si>
  <si>
    <t>PDI</t>
  </si>
  <si>
    <t>Shape</t>
  </si>
  <si>
    <t>Thickness</t>
  </si>
  <si>
    <t>Units_Thickness</t>
  </si>
  <si>
    <t>Surface</t>
  </si>
  <si>
    <t>Surface_Units</t>
  </si>
  <si>
    <t>Diameter</t>
  </si>
  <si>
    <t>Diameter_Units</t>
  </si>
  <si>
    <t>Length</t>
  </si>
  <si>
    <t>Length_Units</t>
  </si>
  <si>
    <t>Additive</t>
  </si>
  <si>
    <t>Additive1_name</t>
  </si>
  <si>
    <t>Additive1_percentage</t>
  </si>
  <si>
    <t>Additive1_use</t>
  </si>
  <si>
    <t>Additive2_name</t>
  </si>
  <si>
    <t>Additive2_percentage</t>
  </si>
  <si>
    <t>Additive2_use</t>
  </si>
  <si>
    <t>Addtive3_name</t>
  </si>
  <si>
    <t>Additive3_percentage</t>
  </si>
  <si>
    <t>Additive3_use</t>
  </si>
  <si>
    <t>Polymer_Percentage</t>
  </si>
  <si>
    <t>3HB</t>
  </si>
  <si>
    <t>g/mol</t>
  </si>
  <si>
    <t>Film</t>
  </si>
  <si>
    <t>μm</t>
  </si>
  <si>
    <t>No</t>
  </si>
  <si>
    <t>3HV</t>
  </si>
  <si>
    <t>Yes</t>
  </si>
  <si>
    <t>Gentamicin_sulfate</t>
  </si>
  <si>
    <t>Antibiotic</t>
  </si>
  <si>
    <t>Oregano Essential Oil</t>
  </si>
  <si>
    <t xml:space="preserve">Antioxidant_Antimicrobial </t>
  </si>
  <si>
    <t>Zinc Oxide Nanoparticles</t>
  </si>
  <si>
    <t>Antimicrobial</t>
  </si>
  <si>
    <t>CNC</t>
  </si>
  <si>
    <t>Barier</t>
  </si>
  <si>
    <t>mm</t>
  </si>
  <si>
    <t>PCL</t>
  </si>
  <si>
    <t>Enhancer</t>
  </si>
  <si>
    <t>VCM</t>
  </si>
  <si>
    <t xml:space="preserve">Antibiotic </t>
  </si>
  <si>
    <t>BCP</t>
  </si>
  <si>
    <t>Microparticles</t>
  </si>
  <si>
    <t>RIF</t>
  </si>
  <si>
    <t>PVA</t>
  </si>
  <si>
    <t>Adhesive</t>
  </si>
  <si>
    <t>Nanoparticle</t>
  </si>
  <si>
    <t>nm</t>
  </si>
  <si>
    <t>EPT</t>
  </si>
  <si>
    <t>Anticancer</t>
  </si>
  <si>
    <t>Bar</t>
  </si>
  <si>
    <t xml:space="preserve"> cm</t>
  </si>
  <si>
    <t>cm</t>
  </si>
  <si>
    <t>mm^2</t>
  </si>
  <si>
    <t>A_MWCNTs</t>
  </si>
  <si>
    <t>Reinforcement</t>
  </si>
  <si>
    <t>3Hv</t>
  </si>
  <si>
    <t>Microsphere</t>
  </si>
  <si>
    <t>PEG_1100</t>
  </si>
  <si>
    <t>Stabilizer</t>
  </si>
  <si>
    <t>PEG_10000</t>
  </si>
  <si>
    <t>PPD</t>
  </si>
  <si>
    <t>Plasticizer</t>
  </si>
  <si>
    <t>Disc</t>
  </si>
  <si>
    <t>PEG</t>
  </si>
  <si>
    <t>Fiber</t>
  </si>
  <si>
    <t>PLGA</t>
  </si>
  <si>
    <t>Carrier</t>
  </si>
  <si>
    <t>IGF1</t>
  </si>
  <si>
    <t>Activator</t>
  </si>
  <si>
    <t xml:space="preserve"> As2O3</t>
  </si>
  <si>
    <t>Persevative</t>
  </si>
  <si>
    <t>Folate</t>
  </si>
  <si>
    <t>Target_Ligard</t>
  </si>
  <si>
    <t>Nanotube</t>
  </si>
  <si>
    <t>HNT</t>
  </si>
  <si>
    <t>Sr</t>
  </si>
  <si>
    <t>Membrane</t>
  </si>
  <si>
    <t>PDMAEMA</t>
  </si>
  <si>
    <t>Condensator</t>
  </si>
  <si>
    <t>Phosphatidylcholine</t>
  </si>
  <si>
    <t>Builder</t>
  </si>
  <si>
    <t>Cholesterol</t>
  </si>
  <si>
    <t>Modulator</t>
  </si>
  <si>
    <t>PMLA</t>
  </si>
  <si>
    <t>SDS</t>
  </si>
  <si>
    <t>Surfactant</t>
  </si>
  <si>
    <t>SPIONs</t>
  </si>
  <si>
    <t>Filler</t>
  </si>
  <si>
    <t>AZA</t>
  </si>
  <si>
    <t>Immunosuppressant</t>
  </si>
  <si>
    <t>HC</t>
  </si>
  <si>
    <t>Nanospheres</t>
  </si>
  <si>
    <t>Linear</t>
  </si>
  <si>
    <t>PNIPAAM</t>
  </si>
  <si>
    <t>Responsive</t>
  </si>
  <si>
    <t>PPEGMEMA</t>
  </si>
  <si>
    <t>Stealth</t>
  </si>
  <si>
    <t xml:space="preserve"> PPPGMA</t>
  </si>
  <si>
    <t>Hydrophobe</t>
  </si>
  <si>
    <t>Diblock_star</t>
  </si>
  <si>
    <t>Tetra_Arm_Star</t>
  </si>
  <si>
    <t>Nanofibers</t>
  </si>
  <si>
    <t>CaCO3</t>
  </si>
  <si>
    <t>Biomineralization_Bioactivity_Enhancement</t>
  </si>
  <si>
    <t>ALP</t>
  </si>
  <si>
    <t>Bioactive_surface_bound_enzyme</t>
  </si>
  <si>
    <t>Micelles</t>
  </si>
  <si>
    <t>Functional_Additive</t>
  </si>
  <si>
    <t>sCaCO3</t>
  </si>
  <si>
    <t>mCaCO3</t>
  </si>
  <si>
    <t>PLA</t>
  </si>
  <si>
    <t>Matrix_polymer</t>
  </si>
  <si>
    <t>HA_TCP</t>
  </si>
  <si>
    <t>Bioactive_reinforcement</t>
  </si>
  <si>
    <t>TAC</t>
  </si>
  <si>
    <t>CEF</t>
  </si>
  <si>
    <t>FA</t>
  </si>
  <si>
    <t>Targeting_ligand</t>
  </si>
  <si>
    <t>EPI</t>
  </si>
  <si>
    <t>Active_drug</t>
  </si>
  <si>
    <t>CNW</t>
  </si>
  <si>
    <t>MCC</t>
  </si>
  <si>
    <t>Starch</t>
  </si>
  <si>
    <t>Compatibilizer</t>
  </si>
  <si>
    <t>Nanofiller</t>
  </si>
  <si>
    <t>Melanin</t>
  </si>
  <si>
    <t>PC</t>
  </si>
  <si>
    <t>Emulsifier</t>
  </si>
  <si>
    <t>Flexibilizer</t>
  </si>
  <si>
    <t>Polydopamine</t>
  </si>
  <si>
    <t>Folic_Acid</t>
  </si>
  <si>
    <t>Targeting_Ligard</t>
  </si>
  <si>
    <t>MTX</t>
  </si>
  <si>
    <t>Herb</t>
  </si>
  <si>
    <t>Binder</t>
  </si>
  <si>
    <t>cm^2</t>
  </si>
  <si>
    <t>PHA</t>
  </si>
  <si>
    <t>BC</t>
  </si>
  <si>
    <t>ISO</t>
  </si>
  <si>
    <t>ASTM</t>
  </si>
  <si>
    <t>Assay</t>
  </si>
  <si>
    <t>Cell_Line</t>
  </si>
  <si>
    <t>Cell_Line_Type</t>
  </si>
  <si>
    <t>Exposure_type</t>
  </si>
  <si>
    <t>No_Cells_per_well</t>
  </si>
  <si>
    <t>Inoculum_concentration_units</t>
  </si>
  <si>
    <t>Culture_Medium</t>
  </si>
  <si>
    <t>Dilution_Medium</t>
  </si>
  <si>
    <t>Concentration</t>
  </si>
  <si>
    <t>Concentration_Units</t>
  </si>
  <si>
    <t>Dilution</t>
  </si>
  <si>
    <t>Incubation_Time</t>
  </si>
  <si>
    <t>Incubation_Time_units</t>
  </si>
  <si>
    <t>Incubation_Temperature</t>
  </si>
  <si>
    <t>Incubation_Temperature_Units</t>
  </si>
  <si>
    <t>CO2_percentage</t>
  </si>
  <si>
    <t>Air</t>
  </si>
  <si>
    <t>Extraction_Time</t>
  </si>
  <si>
    <t>Units_Extraction_Time</t>
  </si>
  <si>
    <t>Extraction_Temperature</t>
  </si>
  <si>
    <t>Units_Extraction_T</t>
  </si>
  <si>
    <t>Extraction_medium</t>
  </si>
  <si>
    <t>Extraction_Surface_Area_Ratio</t>
  </si>
  <si>
    <t>Extraction_Surface_Area_Ratio_Units</t>
  </si>
  <si>
    <t>10993-5</t>
  </si>
  <si>
    <t>LDH</t>
  </si>
  <si>
    <t>Saos-2</t>
  </si>
  <si>
    <t>Human</t>
  </si>
  <si>
    <t>Indirect_contact</t>
  </si>
  <si>
    <t>cells/well</t>
  </si>
  <si>
    <t>McCOY_5A_10FBS _PS_Glu_Pyr_HEPES</t>
  </si>
  <si>
    <t>DMEM</t>
  </si>
  <si>
    <t>hours</t>
  </si>
  <si>
    <t>Celsius</t>
  </si>
  <si>
    <t>(cm^2)/mL</t>
  </si>
  <si>
    <t xml:space="preserve">CCK-8 </t>
  </si>
  <si>
    <t>Caco-2</t>
  </si>
  <si>
    <t>MEM</t>
  </si>
  <si>
    <t>Humidified</t>
  </si>
  <si>
    <t>Resazurin</t>
  </si>
  <si>
    <t>10993-12</t>
  </si>
  <si>
    <t>MTT</t>
  </si>
  <si>
    <t>MC3T3-E1</t>
  </si>
  <si>
    <t>Mouse</t>
  </si>
  <si>
    <t>α_MEM_FBS_Penicillin_streptomycin</t>
  </si>
  <si>
    <t>cm^2/mL</t>
  </si>
  <si>
    <t>Serum_free_α_MEM</t>
  </si>
  <si>
    <t>NRU</t>
  </si>
  <si>
    <t>V79_Fibroblast</t>
  </si>
  <si>
    <t>DMEM_FCS</t>
  </si>
  <si>
    <t>NAC</t>
  </si>
  <si>
    <t>A549</t>
  </si>
  <si>
    <t>Direct_Contact</t>
  </si>
  <si>
    <t>DMEM_FBS_P/S</t>
  </si>
  <si>
    <t>μg/mL</t>
  </si>
  <si>
    <t>Mouse_Fibroblasts</t>
  </si>
  <si>
    <t>DMEM_FBS_gentamicin</t>
  </si>
  <si>
    <t>Murine_Fibroblasts_L929</t>
  </si>
  <si>
    <t>Dental_Pulp_Fibroblasts</t>
  </si>
  <si>
    <t>serum_free_MEM</t>
  </si>
  <si>
    <t>Vero_Cells</t>
  </si>
  <si>
    <t>Monkey</t>
  </si>
  <si>
    <t>Ham-F10_medium_FCS_10</t>
  </si>
  <si>
    <t>F895-84</t>
  </si>
  <si>
    <t>Agarose_Overlay</t>
  </si>
  <si>
    <t>Mouse_Fibroblasts_L929</t>
  </si>
  <si>
    <t>MEM_FBS10_NEAA_agar</t>
  </si>
  <si>
    <t>MEM_penicilin_streptomycin_Lglutamine</t>
  </si>
  <si>
    <t>MEM_penicilin_streptomycin_Lglutamine_calf_serum</t>
  </si>
  <si>
    <t>Direct_contact</t>
  </si>
  <si>
    <t>HEK293</t>
  </si>
  <si>
    <t>RPMI_FBS_Lglutamine_Streptomycin_Penicillin</t>
  </si>
  <si>
    <t>Tryptan_Blue_Assay</t>
  </si>
  <si>
    <t>BCA</t>
  </si>
  <si>
    <t>L929_Fibroblasts</t>
  </si>
  <si>
    <t>DMEM_FCS10</t>
  </si>
  <si>
    <t>HEK</t>
  </si>
  <si>
    <t>KGM_Gold_Penicillin_Streptomycin_Amphotericin_B</t>
  </si>
  <si>
    <t>Alamar_Blue</t>
  </si>
  <si>
    <t>HaCaT</t>
  </si>
  <si>
    <t>Mouse_Melanoma_B_16</t>
  </si>
  <si>
    <t>DMEM_10FBS_L_GLutamine_Penicillin_Streptomycin</t>
  </si>
  <si>
    <t>HepaRG_progenitors</t>
  </si>
  <si>
    <t>μΜ</t>
  </si>
  <si>
    <t>HepaRG_hepatocytes</t>
  </si>
  <si>
    <t>SK_MEL_28_melanoma_cells</t>
  </si>
  <si>
    <t>Tryptan_Blue_exclusion</t>
  </si>
  <si>
    <t>MG63</t>
  </si>
  <si>
    <t>87_DMEM_10FBS_1NEAA_1sodium pyruvate_1penicillin-streptomycin)</t>
  </si>
  <si>
    <t>mg/L</t>
  </si>
  <si>
    <t>DiIC1_(5)</t>
  </si>
  <si>
    <t>Jurkat</t>
  </si>
  <si>
    <t>RPMI-1640</t>
  </si>
  <si>
    <t>mg/mL</t>
  </si>
  <si>
    <t>HT_29_cells</t>
  </si>
  <si>
    <t>SaOS_2</t>
  </si>
  <si>
    <t>RPMI_1640</t>
  </si>
  <si>
    <t>Raji</t>
  </si>
  <si>
    <t>Bovine_Keratocytes</t>
  </si>
  <si>
    <t>Cow</t>
  </si>
  <si>
    <t>DMEM_G1_F10_A5</t>
  </si>
  <si>
    <t>DMEM-G1-F10-A5</t>
  </si>
  <si>
    <t>DMEM_G1_F10_A6</t>
  </si>
  <si>
    <t>DMEM_G1_F10_A7</t>
  </si>
  <si>
    <t>DMEM_G1_F10_A8</t>
  </si>
  <si>
    <t>MTS</t>
  </si>
  <si>
    <t>Calu_3</t>
  </si>
  <si>
    <t>Mouse_Fibroblasts_L928</t>
  </si>
  <si>
    <t>DMEM_HGFPS</t>
  </si>
  <si>
    <t xml:space="preserve">MTT </t>
  </si>
  <si>
    <t>CCD_112CoN</t>
  </si>
  <si>
    <t>DMEM_FP</t>
  </si>
  <si>
    <t>MEMα-GFPS</t>
  </si>
  <si>
    <t>Human_epithelial_kidney_HEK293_cells</t>
  </si>
  <si>
    <t>DMEM_with_serum</t>
  </si>
  <si>
    <t>3T3_Fibroblasts</t>
  </si>
  <si>
    <t>L929</t>
  </si>
  <si>
    <t>MEM_10FBS</t>
  </si>
  <si>
    <t>MEM_5FBS_ATB</t>
  </si>
  <si>
    <t>HepG2</t>
  </si>
  <si>
    <t>DMEM_10FBS_Pen_Strep</t>
  </si>
  <si>
    <t>PBS</t>
  </si>
  <si>
    <t>MCF7</t>
  </si>
  <si>
    <t>PBMC</t>
  </si>
  <si>
    <t>Chondrocytes</t>
  </si>
  <si>
    <t>Fluorometric</t>
  </si>
  <si>
    <t>DRG_neurons</t>
  </si>
  <si>
    <t>Rat</t>
  </si>
  <si>
    <t>F12_10FCS_Primocin</t>
  </si>
  <si>
    <t>F813-83</t>
  </si>
  <si>
    <t>Vero_cells</t>
  </si>
  <si>
    <t>L02_cells</t>
  </si>
  <si>
    <t xml:space="preserve">Human </t>
  </si>
  <si>
    <t>0.1</t>
  </si>
  <si>
    <t>SW_480</t>
  </si>
  <si>
    <t>HMECs</t>
  </si>
  <si>
    <t>Number_of_cells_well</t>
  </si>
  <si>
    <t>Cell_viability_percentage</t>
  </si>
  <si>
    <t>Toxicity</t>
  </si>
  <si>
    <t>IC_50</t>
  </si>
  <si>
    <t>IC_50_units</t>
  </si>
  <si>
    <t>Growth_constant_μ</t>
  </si>
  <si>
    <t>Growth_constant_μ_units</t>
  </si>
  <si>
    <t>RGR</t>
  </si>
  <si>
    <t>Toxicity_Grade</t>
  </si>
  <si>
    <t>Zone_Index</t>
  </si>
  <si>
    <t>Lysis_Index</t>
  </si>
  <si>
    <t>Growth_inhibition_percentage</t>
  </si>
  <si>
    <t>1/hours</t>
  </si>
  <si>
    <t>Author</t>
  </si>
  <si>
    <t>Date</t>
  </si>
  <si>
    <t>Title</t>
  </si>
  <si>
    <t>Doi</t>
  </si>
  <si>
    <t>Review_DOI</t>
  </si>
  <si>
    <t>Reference_from_Review</t>
  </si>
  <si>
    <t>Rodríguez-Contreras  et al.</t>
  </si>
  <si>
    <t>Antibacterial PHAs coating for titanium implants</t>
  </si>
  <si>
    <t>http://dx.doi.org/10.1016/j.eurpolymj.2017.03.004</t>
  </si>
  <si>
    <t>Figueroa-Lopez et al.</t>
  </si>
  <si>
    <t>Development of Active Barrier Multilayer Films Based on Electrospun Antimicrobial Hot-Tack Food Waste Derived  Poly(3-hydroxybutyrate-co-3-hydroxyvalerate) and Cellulose Nanocrystal Interlayers</t>
  </si>
  <si>
    <t>https://doi.org/10.3390/nano10122356</t>
  </si>
  <si>
    <t>Upho et al.</t>
  </si>
  <si>
    <t>Development of Novel PHBV/PCL and BCP Composite for Musculoskeletal Infection: an In Vitro Vancomycin Release and Anti-MRSA Effect</t>
  </si>
  <si>
    <t>https://doi.org/10.1007/s12247-015-9219-4</t>
  </si>
  <si>
    <t>Duran et al.</t>
  </si>
  <si>
    <t>Microencapsulation of Antibiotic Rifampicin in Poly(3-hydroxybutyrate-co-3-hydroxyvalerate)</t>
  </si>
  <si>
    <t>https://doi.org/10.1007/s12272-001-2137-7</t>
  </si>
  <si>
    <t>Masood et al.</t>
  </si>
  <si>
    <t>Synthesis of poly-(3-hydroxybutyrate-co-12 mol % 3-hydroxyvalerate) by Bacillus cereus FB11: its characterization and application as a drug carrier</t>
  </si>
  <si>
    <t>https://doi.org/10.1007/s10856-013-4946-x</t>
  </si>
  <si>
    <t>Dang et al.</t>
  </si>
  <si>
    <t>Toxicity Screening of Biodegradable Polymers. I. Selection and Evaluation of Cell Culture Test Methods</t>
  </si>
  <si>
    <t>https://doi.org/10.1007/BF02067453</t>
  </si>
  <si>
    <t>Yanxuan et al</t>
  </si>
  <si>
    <t>Processing, Structure, and Properties of Multiwalled Carbon Nanotube/Poly(hydroxybutyrate-co-valerate) Biopolymer Nanocomposites</t>
  </si>
  <si>
    <t xml:space="preserve"> https://doi.org/10.1002/app.35650</t>
  </si>
  <si>
    <t>Monnier et al</t>
  </si>
  <si>
    <t>Preparation and characterization of biodegradable polyhydroxybutyrate-co-hydroxyvalerate/polyethylene glycol-based microspheres</t>
  </si>
  <si>
    <t>http://dx.doi.org/10.1016/j.ijpharm.2016.08.066</t>
  </si>
  <si>
    <t>Dias et al.</t>
  </si>
  <si>
    <t>Blends of poly(3-hydroxybutyrate) and poly(p-dioxanone): miscibility, thermal stability and biocompatibility</t>
  </si>
  <si>
    <t>10.1007/s10856-008-3531-1</t>
  </si>
  <si>
    <t>Xian Jun Loh et al.</t>
  </si>
  <si>
    <t>Compositional study and cytotoxicity of biodegradable poly(ester urethane)s consisting of poly[(R)-3-hydroxybutyrate] and poly(ethylene glycol)</t>
  </si>
  <si>
    <t>10.1016/j.msec.2006.05.009</t>
  </si>
  <si>
    <t>Krucinska et al.</t>
  </si>
  <si>
    <t>Biological Properties of Low-Toxicity PLGA and PLGA/PHB Fibrous Nanocomposite Implants for Osseous Tissue Regeneration. Part I: Evaluation of Potential Biotoxicity</t>
  </si>
  <si>
    <t>https://doi.org/10.3390/molecules22122092</t>
  </si>
  <si>
    <t>Althuri, A., et al.</t>
  </si>
  <si>
    <t xml:space="preserve">Microbial synthesis of poly-3-hydroxybutyrate and its application as targeted drug delivery vehicle </t>
  </si>
  <si>
    <t>http://dx.doi.org/10.1016/j.biortech.2013.01.106</t>
  </si>
  <si>
    <t>BUffa et al.</t>
  </si>
  <si>
    <t>Design and characterization of a composite material based on Sr(II)-loaded clay nanotubes included within a biopolymer matrix</t>
  </si>
  <si>
    <t>http://dx.doi.org/10.1016/j.jcis.2015.02.043</t>
  </si>
  <si>
    <t>Da-Guang et al.</t>
  </si>
  <si>
    <t>Cytocompatibility and Antibacterial Activity of a PHBV Membrane with Surface-Immobilized Water-Soluble Chitosan and Chondroitin-6-sulfate</t>
  </si>
  <si>
    <t>10.1002/mabi.200600026</t>
  </si>
  <si>
    <t>Incorporation of Poly[(R)-3-hydroxybutyrate] into Cationic Copolymers Based on Poly(2-(dimethylamino)ethyl methacrylate) to Improve Gene Delivery</t>
  </si>
  <si>
    <t xml:space="preserve">  https://doi.org/10.1002/mabi.201300050</t>
  </si>
  <si>
    <t>Bokrova et al.</t>
  </si>
  <si>
    <t xml:space="preserve">Fabrication of novel PHB-liposome nanoparticles and study of their toxicity in vitro </t>
  </si>
  <si>
    <t>https://doi.org/10.1007/s11051-019-4484-7</t>
  </si>
  <si>
    <t>Simioni et al.</t>
  </si>
  <si>
    <t>PHBHV/PCL microspheres as biodegradable drug delivery systems (DDS) for photodynamic therapy (PDT)</t>
  </si>
  <si>
    <t>10.1007/s10853-007-1652-4</t>
  </si>
  <si>
    <t>Barouti et al.</t>
  </si>
  <si>
    <t>Polyhydroxyalkanoate-based amphiphilic diblock copolymers as original biocompatible nanovectors</t>
  </si>
  <si>
    <t>10.1039/c5py00831j</t>
  </si>
  <si>
    <t>Santos et al.</t>
  </si>
  <si>
    <t>Enhanced ligand-free attachment of osteoblast to poly (3-hydroxybutyrate-co-3-hydroxyvalerate) nanoparticles</t>
  </si>
  <si>
    <t xml:space="preserve">https://doi.org/10.1016/j.ijbiomac.2021.08.120 </t>
  </si>
  <si>
    <t>Li et al.</t>
  </si>
  <si>
    <t>Facile preparation of  multifunctional superparamagnetic  PHBV microspheres containing SPIONs for biomedical applications</t>
  </si>
  <si>
    <t xml:space="preserve"> 10.1038/srep23140</t>
  </si>
  <si>
    <t>Antimicrobial PHAs coatings for solid and porous tantalum implants</t>
  </si>
  <si>
    <t>https://doi.org/10.1016/j.colsurfb.2019.06.047</t>
  </si>
  <si>
    <t>Hu et al.</t>
  </si>
  <si>
    <t>A novel long-acting azathioprine polyhydroxyalkanoate nanoparticle enhances treatment efficacy for systemic lupus erythematosus with reduced side effects</t>
  </si>
  <si>
    <t>10.1039/d0nr01308k</t>
  </si>
  <si>
    <t>Álvarez-Álvarez et al.</t>
  </si>
  <si>
    <t>Hydrocortisone loaded poly-(3-hydroxybutyrate-co-3-hydroxyvalerate) nanoparticles for topical ophthalmic administration: Preparation, characterization and evaluation of ophthalmic toxicity</t>
  </si>
  <si>
    <t>https://doi.org/10.1016/j.ijpharm.2019.118519</t>
  </si>
  <si>
    <t xml:space="preserve">Giufrida et al. </t>
  </si>
  <si>
    <t>Medroxyprogesterone-encapsulated poly(3-hydroxybutirate-co-3-hydroxyvalerate) nanoparticles using supercritical fluid extraction of emulsions</t>
  </si>
  <si>
    <t>https://doi.org/10.1016/j.supflu.2016.07.026</t>
  </si>
  <si>
    <t xml:space="preserve">Eke et al. </t>
  </si>
  <si>
    <t>In vitro and transdermal penetration of PHBV micro/nanoparticles</t>
  </si>
  <si>
    <t>10.1007/s10856-014-5169-5</t>
  </si>
  <si>
    <t>New Linear and Star-Shaped Thermogelling Poly([R]-3- hydroxybutyrate) Copolymers</t>
  </si>
  <si>
    <t>10.1002/chem.201601404</t>
  </si>
  <si>
    <t>Chernozem et al.</t>
  </si>
  <si>
    <t xml:space="preserve">Piezoelectric hybrid scaffolds mineralized with calcium carbonate for tissue engineering: Analysis of local enzyme and small-molecule drug delivery, cell response and antibacterial performance </t>
  </si>
  <si>
    <t xml:space="preserve">https://doi.org/10.1016/j.msec.2021.111909 </t>
  </si>
  <si>
    <t>Wang et al.</t>
  </si>
  <si>
    <t>Codelivery for Paclitaxel and Bcl-2 Conversion Gene by PHB-PDMAEMA Amphiphilic Cationic Copolymer for Effective Drug Resistant Cancer Therapy</t>
  </si>
  <si>
    <t xml:space="preserve"> 10.1002/mabi.201700186</t>
  </si>
  <si>
    <t>A nanoconcrete welding strategy for constructing high-performance wound dressing</t>
  </si>
  <si>
    <t xml:space="preserve">https://doi.org/10.1016/j.bioactmat.2021.12.014 </t>
  </si>
  <si>
    <t>Kohan et al.</t>
  </si>
  <si>
    <t xml:space="preserve">Analysis of PLA/PHB Biopolymer Material with Admixture of Hydroxyapatite and Tricalcium Phosphate for Clinical Use </t>
  </si>
  <si>
    <t>https://doi.org/10.3390/polym14245357</t>
  </si>
  <si>
    <t>Vilos et al.</t>
  </si>
  <si>
    <t>Ceftiofur-loaded PHBV microparticles: A potential formulation for a long-acting antibiotic to treat animal infections</t>
  </si>
  <si>
    <t xml:space="preserve">10.2225/vol15-issue4-fulltext-2 </t>
  </si>
  <si>
    <t>Characterization of folic acid-grafted poly(3-hydroxybutyrate) and poly(3-hydroxybutyrate-co-3-hydroxyvalerate) nanoparticles as carriers for sustained release of epirubicin</t>
  </si>
  <si>
    <t xml:space="preserve">https://doi.org/10.1016/j.molstruc.2024.137631 </t>
  </si>
  <si>
    <t>Vieyra et al</t>
  </si>
  <si>
    <t>Cytotoxicity and biocompatibility of biomaterials based in polyhydroxybutyrate reinforced with cellulose nanowhiskers determined in human peripheral leukocytes</t>
  </si>
  <si>
    <t>https://doi.org/10.1088/1748-605X/aaaaf4</t>
  </si>
  <si>
    <t>Movahedi et al.</t>
  </si>
  <si>
    <t>Electrospun halloysite nanotube loaded polyhydroxybutyrate-starch fibers for cartilage tissue engineering</t>
  </si>
  <si>
    <t xml:space="preserve">https://doi.org/10.1016/j.ijbiomac.2022.06.072 </t>
  </si>
  <si>
    <t xml:space="preserve">Agrawal et al. </t>
  </si>
  <si>
    <t>Biodegradable and Electrically Conductive Melanin-Poly (3-Hydroxybutyrate) 3D Fibrous Scaffolds for Neural Tissue Engineering Applications</t>
  </si>
  <si>
    <t>10.1002/mabi.202200315</t>
  </si>
  <si>
    <t>PAVELKOVÁ et al.</t>
  </si>
  <si>
    <t>APPLICATION OF PHB-LIPOSOME PARTICLES AND NANOFIBERS IN COSMETICS</t>
  </si>
  <si>
    <t>https://doi.org/10.37904/nanocon.2019.8709</t>
  </si>
  <si>
    <t>Acharjee et al.</t>
  </si>
  <si>
    <t>Polyhydroxybutyrate (PHB)-Based sustainable bioplastic derived from Bacillus sp. KE4 isolated from kitchen waste effluent</t>
  </si>
  <si>
    <t>https://doi.org/10.1016/j.scp.2024.101507</t>
  </si>
  <si>
    <t>Rodrigues et al.</t>
  </si>
  <si>
    <t>Osteogenic differentiation of rat bone mesenchymal stem cells cultured on poly (hydroxybutyrate-co-hydroxyvalerate), poly (ε-caprolactone) scaffolds</t>
  </si>
  <si>
    <t>https://doi.org/10.1007/s10856-021-06615-6</t>
  </si>
  <si>
    <t>Wu et al.</t>
  </si>
  <si>
    <t>Enhancing Targeted Therapy in Hepatocellular Carcinoma through a pH-Responsive Delivery System: Folic Acid-Modified PolydopaminePaclitaxel-Loaded Poly(3-hydroxybutyrate-co-3-hydroxyvalerate) Nanoparticles</t>
  </si>
  <si>
    <t>https://doi.org/10.1021/acs.molpharmaceut.3c00710</t>
  </si>
  <si>
    <t>Baqeri et al.</t>
  </si>
  <si>
    <t xml:space="preserve">Design of slow-release methotrexate drug delivery system using PHBV magnetic nanoparticles and evaluation of its cytotoxicity </t>
  </si>
  <si>
    <t xml:space="preserve">https://doi.org/10.1016/j.jddst.2022.103854 </t>
  </si>
  <si>
    <t>Chiulan et al.</t>
  </si>
  <si>
    <t>Biocompatible polyhydroxyalkanoates/bacterial cellulose composites: Preparation, characterization, and in vitro evaluation</t>
  </si>
  <si>
    <t>10.1002/jbm.a.35800</t>
  </si>
  <si>
    <t xml:space="preserve"> Basnett et al.</t>
  </si>
  <si>
    <t>Novel Poly(3-hydroxyoctanoate)/Poly(3-hydroxybutyrate) blends for medical applications</t>
  </si>
  <si>
    <t>http://dx.doi.org/10.1016/j.reactfunctpolym.2013.03.019</t>
  </si>
  <si>
    <t>Abbreviation</t>
  </si>
  <si>
    <t>Use</t>
  </si>
  <si>
    <t>McCoy’s 5A mediumsupplemented with 10% fetal bovine serum (FBS), penicillin/streptomycin (50 U/mL and 50 µg/mL, respectively), 2 mM L-glutamine, 1 mM sodium pyruvate and 20 mM HEPES buffer</t>
  </si>
  <si>
    <t>Culture medium</t>
  </si>
  <si>
    <t>OEO</t>
  </si>
  <si>
    <t>ZnONPs</t>
  </si>
  <si>
    <t>Cellulose Nanocrystals</t>
  </si>
  <si>
    <t>Rifampicin</t>
  </si>
  <si>
    <t>Polyvinyl alcohol</t>
  </si>
  <si>
    <t>surfactant or stabilizer (25)</t>
  </si>
  <si>
    <t>Ellipticine</t>
  </si>
  <si>
    <t>Multiwalled carbon nanotubes (acid oxidation)</t>
  </si>
  <si>
    <t>Polyethylene glycol_Mw 1100</t>
  </si>
  <si>
    <t>Polyethylene glycol_Mw 10000</t>
  </si>
  <si>
    <t>poly (p-dioxanone)</t>
  </si>
  <si>
    <t>Fetal Calf Serum</t>
  </si>
  <si>
    <t>FCS</t>
  </si>
  <si>
    <t>Poly(ethylene glycol)</t>
  </si>
  <si>
    <t>Poly(2-dimethylamino)ethyl methacrylate)</t>
  </si>
  <si>
    <t>Poly(β-malic acid)</t>
  </si>
  <si>
    <t xml:space="preserve">Sodium Dodecyl Sulfate </t>
  </si>
  <si>
    <t>superparamagnetic iron oxide nanoparticles</t>
  </si>
  <si>
    <t>azathioprine</t>
  </si>
  <si>
    <t>G1 = 1 g/L glucose, F10 = 10% FBS, A5 = 5 antimicrobials: 2 mM glutamine, 100 U/mL penicillin, 100 µg/mL streptomycin, 50 µg/mL gentamicin, 2 µg/mL fluconazole</t>
  </si>
  <si>
    <t xml:space="preserve">Dulbecco’s Modified Eagle Medium, High Glucose + Fetal Bovine Serum + Penicillin + Streptomycin </t>
  </si>
  <si>
    <t>MEMalpha glutaMAX-1™ (Cat. No. 32561–029) supplemented with 10%  fetal bovine serum (FBS), 2 mM glutamine and 100 μg/ml penicillin/streptomycin</t>
  </si>
  <si>
    <t>Culture Medium</t>
  </si>
  <si>
    <t>Alkaline Phosphatase</t>
  </si>
  <si>
    <t>Vancomycin</t>
  </si>
  <si>
    <t>vaterite/calcite</t>
  </si>
  <si>
    <t>solid CaCO₃</t>
  </si>
  <si>
    <t xml:space="preserve">mesoporous CaCO₃ </t>
  </si>
  <si>
    <t>Cell Counting Kit-8</t>
  </si>
  <si>
    <t>CCK_8</t>
  </si>
  <si>
    <t>Hydroxyapatite_β-Tricalcium Phosphate</t>
  </si>
  <si>
    <t>Polylactic Acid</t>
  </si>
  <si>
    <t xml:space="preserve"> Tricytyl 2-Acetyl Citrate</t>
  </si>
  <si>
    <t xml:space="preserve">Minimum Essential Medium (MEM) supplemented with 5% Fetal Bovine Serum (FBS) Antibiotics (ATB) </t>
  </si>
  <si>
    <t>Dillution Medium</t>
  </si>
  <si>
    <t>Minimum Essential Medium (MEM) supplemented with 10% Fetal Bovine Serum (FBS)</t>
  </si>
  <si>
    <t xml:space="preserve"> Ceftiofur</t>
  </si>
  <si>
    <t>Folic Acid</t>
  </si>
  <si>
    <t xml:space="preserve">Polyethylene glycol </t>
  </si>
  <si>
    <t>Epirubicin</t>
  </si>
  <si>
    <t>Halloysite Nanotubes</t>
  </si>
  <si>
    <t>Mouse Dorsal Root Ganglia</t>
  </si>
  <si>
    <t>DRG</t>
  </si>
  <si>
    <t xml:space="preserve"> Phosphatidylcholine</t>
  </si>
  <si>
    <t>Poly(ε-caprolactone)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</si>
</sst>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9"/>
      <color theme="1"/>
      <name val="Inter"/>
    </font>
    <font>
      <sz val="9"/>
      <color theme="1"/>
      <name val="Calibri"/>
      <scheme val="minor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sz val="12"/>
      <color rgb="FF222222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  <charset val="161"/>
    </font>
    <font>
      <sz val="8"/>
      <name val="Calibri"/>
      <scheme val="minor"/>
    </font>
    <font>
      <sz val="9"/>
      <color rgb="FF2C2C2C"/>
      <name val="Calibri"/>
      <family val="2"/>
      <charset val="161"/>
      <scheme val="minor"/>
    </font>
    <font>
      <sz val="9"/>
      <color rgb="FF2C2C2C"/>
      <name val="Calibri"/>
      <scheme val="minor"/>
    </font>
    <font>
      <sz val="11"/>
      <color rgb="FF2C2C2C"/>
      <name val="Calibri"/>
      <scheme val="minor"/>
    </font>
    <font>
      <sz val="11"/>
      <color rgb="FF000000"/>
      <name val="Aptos Narrow"/>
      <family val="2"/>
      <charset val="161"/>
    </font>
    <font>
      <sz val="9"/>
      <color rgb="FF2C2C2C"/>
      <name val="Inter"/>
      <charset val="1"/>
    </font>
    <font>
      <sz val="12"/>
      <color rgb="FF2C2C2C"/>
      <name val="Calibri"/>
      <family val="2"/>
      <charset val="161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rgb="FF424242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16" fillId="3" borderId="4" xfId="0" applyNumberFormat="1" applyFont="1" applyFill="1" applyBorder="1" applyAlignment="1">
      <alignment horizontal="center" vertical="center" wrapText="1"/>
    </xf>
    <xf numFmtId="2" fontId="16" fillId="3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3" xfId="0" applyNumberFormat="1" applyFont="1" applyFill="1" applyBorder="1" applyAlignment="1">
      <alignment horizontal="center"/>
    </xf>
    <xf numFmtId="2" fontId="18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4" fontId="18" fillId="3" borderId="3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4" fontId="18" fillId="3" borderId="0" xfId="0" applyNumberFormat="1" applyFont="1" applyFill="1" applyAlignment="1">
      <alignment horizontal="center" wrapText="1"/>
    </xf>
    <xf numFmtId="3" fontId="18" fillId="3" borderId="0" xfId="0" applyNumberFormat="1" applyFont="1" applyFill="1" applyAlignment="1">
      <alignment horizontal="center" wrapText="1"/>
    </xf>
    <xf numFmtId="3" fontId="0" fillId="0" borderId="3" xfId="0" applyNumberFormat="1" applyBorder="1" applyAlignment="1">
      <alignment horizont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20" fillId="3" borderId="0" xfId="0" applyNumberFormat="1" applyFont="1" applyFill="1" applyAlignment="1">
      <alignment wrapText="1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2" fontId="18" fillId="3" borderId="0" xfId="0" applyNumberFormat="1" applyFont="1" applyFill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3" xfId="0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6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5" borderId="0" xfId="2" applyFill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3" fontId="18" fillId="3" borderId="2" xfId="0" applyNumberFormat="1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4" fontId="18" fillId="3" borderId="4" xfId="0" applyNumberFormat="1" applyFont="1" applyFill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/>
    </xf>
    <xf numFmtId="0" fontId="13" fillId="5" borderId="0" xfId="2" applyFill="1" applyAlignment="1">
      <alignment horizontal="center" vertical="center" wrapText="1"/>
    </xf>
  </cellXfs>
  <cellStyles count="3">
    <cellStyle name="Hyperlink" xfId="2" xr:uid="{00000000-000B-0000-0000-000008000000}"/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NSΤANΤINA FILIPPOU" id="{786455BF-3A6B-412F-AC90-E3E8B24BFC7D}" userId="S::konfilippou@aua.gr::ab4ed70e-1553-4beb-a1af-d76158606c83" providerId="AD"/>
  <person displayName="Επισκέπτης" id="{371E45CE-52B4-4220-8C61-66E759BA63A6}" userId="S::urn:spo:tenantanon#4f23f294-5c86-4c31-ab35-d99a6b441bc1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5-22T15:37:14.62" personId="{786455BF-3A6B-412F-AC90-E3E8B24BFC7D}" id="{83A1F684-94C3-4059-9991-02C33AF27C64}">
    <text>να προσθέσω length, diameter_, height (Size_Length etc)</text>
  </threadedComment>
  <threadedComment ref="G140" dT="2025-05-22T12:13:42.64" personId="{786455BF-3A6B-412F-AC90-E3E8B24BFC7D}" id="{27D7A59A-ACBE-48FD-842B-DA61DDEF9720}">
    <text>του τελικού formulation</text>
  </threadedComment>
  <threadedComment ref="G143" dT="2025-05-22T12:13:42.64" personId="{786455BF-3A6B-412F-AC90-E3E8B24BFC7D}" id="{DB843C03-961A-4852-8B8B-6CE390C4ABE0}">
    <text>του τελικού formulation</text>
  </threadedComment>
  <threadedComment ref="G146" dT="2025-05-22T12:13:42.64" personId="{786455BF-3A6B-412F-AC90-E3E8B24BFC7D}" id="{BEBA77B1-00F9-4675-8E08-6F47712BE345}">
    <text>του τελικού formulation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" dT="2025-05-22T15:55:01.07" personId="{786455BF-3A6B-412F-AC90-E3E8B24BFC7D}" id="{895C9EC6-F913-4F7A-8BA7-37D5AAF12A71}">
    <text>Στήλη με συγκέντρωση</text>
  </threadedComment>
  <threadedComment ref="Q423" dT="2025-09-08T16:06:07.29" personId="{371E45CE-52B4-4220-8C61-66E759BA63A6}" id="{F137A085-6A3E-47BB-86B1-5FE76D5384DA}">
    <text xml:space="preserve">υπάρχουν κελια με αναδίπλωση!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16/j.jcis.2015.02.043" TargetMode="External"/><Relationship Id="rId13" Type="http://schemas.openxmlformats.org/officeDocument/2006/relationships/hyperlink" Target="https://doi.org/10.1016/j.supflu.2016.07.026" TargetMode="External"/><Relationship Id="rId18" Type="http://schemas.openxmlformats.org/officeDocument/2006/relationships/hyperlink" Target="https://doi.org/10.1088/1748-605X/aaaaf4" TargetMode="External"/><Relationship Id="rId26" Type="http://schemas.openxmlformats.org/officeDocument/2006/relationships/hyperlink" Target="http://dx.doi.org/10.1016/j.ijpharm.2016.08.066" TargetMode="External"/><Relationship Id="rId3" Type="http://schemas.openxmlformats.org/officeDocument/2006/relationships/hyperlink" Target="https://doi.org/10.1007/s12247-015-9219-4" TargetMode="External"/><Relationship Id="rId21" Type="http://schemas.openxmlformats.org/officeDocument/2006/relationships/hyperlink" Target="https://doi.org/10.1016/j.scp.2024.101507" TargetMode="External"/><Relationship Id="rId7" Type="http://schemas.openxmlformats.org/officeDocument/2006/relationships/hyperlink" Target="http://dx.doi.org/10.1016/j.biortech.2013.01.106" TargetMode="External"/><Relationship Id="rId12" Type="http://schemas.openxmlformats.org/officeDocument/2006/relationships/hyperlink" Target="https://doi.org/10.1016/j.ijpharm.2019.118519" TargetMode="External"/><Relationship Id="rId17" Type="http://schemas.openxmlformats.org/officeDocument/2006/relationships/hyperlink" Target="https://doi.org/10.1016/j.molstruc.2024.137631" TargetMode="External"/><Relationship Id="rId25" Type="http://schemas.openxmlformats.org/officeDocument/2006/relationships/hyperlink" Target="https://doi.org/10.1007/s10856-013-4946-x" TargetMode="External"/><Relationship Id="rId2" Type="http://schemas.openxmlformats.org/officeDocument/2006/relationships/hyperlink" Target="https://doi.org/10.3390/nano10122356" TargetMode="External"/><Relationship Id="rId16" Type="http://schemas.openxmlformats.org/officeDocument/2006/relationships/hyperlink" Target="https://doi.org/10.3390/polym14245357" TargetMode="External"/><Relationship Id="rId20" Type="http://schemas.openxmlformats.org/officeDocument/2006/relationships/hyperlink" Target="https://doi.org/10.37904/nanocon.2019.8709" TargetMode="External"/><Relationship Id="rId1" Type="http://schemas.openxmlformats.org/officeDocument/2006/relationships/hyperlink" Target="http://dx.doi.org/10.1016/j.eurpolymj.2017.03.004" TargetMode="External"/><Relationship Id="rId6" Type="http://schemas.openxmlformats.org/officeDocument/2006/relationships/hyperlink" Target="https://doi.org/10.3390/molecules22122092" TargetMode="External"/><Relationship Id="rId11" Type="http://schemas.openxmlformats.org/officeDocument/2006/relationships/hyperlink" Target="https://doi.org/10.1016/j.colsurfb.2019.06.047" TargetMode="External"/><Relationship Id="rId24" Type="http://schemas.openxmlformats.org/officeDocument/2006/relationships/hyperlink" Target="https://doi.org/10.1016/j.jddst.2022.103854" TargetMode="External"/><Relationship Id="rId5" Type="http://schemas.openxmlformats.org/officeDocument/2006/relationships/hyperlink" Target="https://doi.org/10.1007/BF02067453" TargetMode="External"/><Relationship Id="rId15" Type="http://schemas.openxmlformats.org/officeDocument/2006/relationships/hyperlink" Target="https://doi.org/10.1016/j.bioactmat.2021.12.014" TargetMode="External"/><Relationship Id="rId23" Type="http://schemas.openxmlformats.org/officeDocument/2006/relationships/hyperlink" Target="https://doi.org/10.1021/acs.molpharmaceut.3c00710" TargetMode="External"/><Relationship Id="rId10" Type="http://schemas.openxmlformats.org/officeDocument/2006/relationships/hyperlink" Target="https://doi.org/10.1016/j.ijbiomac.2021.08.120" TargetMode="External"/><Relationship Id="rId19" Type="http://schemas.openxmlformats.org/officeDocument/2006/relationships/hyperlink" Target="https://doi.org/10.1016/j.ijbiomac.2022.06.072" TargetMode="External"/><Relationship Id="rId4" Type="http://schemas.openxmlformats.org/officeDocument/2006/relationships/hyperlink" Target="https://doi.org/10.1007/s12272-001-2137-7" TargetMode="External"/><Relationship Id="rId9" Type="http://schemas.openxmlformats.org/officeDocument/2006/relationships/hyperlink" Target="https://doi.org/10.1007/s11051-019-4484-7" TargetMode="External"/><Relationship Id="rId14" Type="http://schemas.openxmlformats.org/officeDocument/2006/relationships/hyperlink" Target="https://doi.org/10.1016/j.msec.2021.111909" TargetMode="External"/><Relationship Id="rId22" Type="http://schemas.openxmlformats.org/officeDocument/2006/relationships/hyperlink" Target="https://doi.org/10.1007/s10856-021-06615-6" TargetMode="External"/><Relationship Id="rId27" Type="http://schemas.openxmlformats.org/officeDocument/2006/relationships/hyperlink" Target="http://dx.doi.org/10.1016/j.reactfunctpolym.2013.03.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2"/>
  <sheetViews>
    <sheetView zoomScale="85" zoomScaleNormal="85" workbookViewId="0">
      <pane ySplit="1" topLeftCell="S2" activePane="bottomLeft" state="frozen"/>
      <selection pane="bottomLeft" activeCell="AA445" sqref="AA445"/>
    </sheetView>
  </sheetViews>
  <sheetFormatPr defaultColWidth="14.42578125" defaultRowHeight="15" customHeight="1"/>
  <cols>
    <col min="1" max="1" width="8.7109375" style="27" customWidth="1"/>
    <col min="2" max="2" width="10.28515625" style="27" customWidth="1"/>
    <col min="3" max="3" width="12.7109375" style="19" customWidth="1"/>
    <col min="4" max="4" width="12" style="27" bestFit="1" customWidth="1"/>
    <col min="5" max="5" width="8.5703125" style="27" bestFit="1" customWidth="1"/>
    <col min="6" max="6" width="8.7109375" style="27" bestFit="1" customWidth="1"/>
    <col min="7" max="7" width="7.7109375" style="27" bestFit="1" customWidth="1"/>
    <col min="8" max="8" width="10.140625" style="27" bestFit="1" customWidth="1"/>
    <col min="9" max="9" width="7.7109375" style="27" bestFit="1" customWidth="1"/>
    <col min="10" max="10" width="9.85546875" style="27" bestFit="1" customWidth="1"/>
    <col min="11" max="11" width="5.140625" style="27" bestFit="1" customWidth="1"/>
    <col min="12" max="12" width="14.42578125" style="27" bestFit="1" customWidth="1"/>
    <col min="13" max="13" width="9.5703125" style="27" bestFit="1" customWidth="1"/>
    <col min="14" max="14" width="15.42578125" style="27" bestFit="1" customWidth="1"/>
    <col min="15" max="16" width="15.42578125" style="27" customWidth="1"/>
    <col min="17" max="17" width="9.42578125" style="27" bestFit="1" customWidth="1"/>
    <col min="18" max="18" width="15.42578125" style="27" bestFit="1" customWidth="1"/>
    <col min="19" max="20" width="25.28515625" style="27" customWidth="1"/>
    <col min="21" max="21" width="11.28515625" style="27" customWidth="1"/>
    <col min="22" max="23" width="19.140625" style="27" customWidth="1"/>
    <col min="24" max="24" width="40.7109375" style="27" bestFit="1" customWidth="1"/>
    <col min="25" max="25" width="22.28515625" style="27" customWidth="1"/>
    <col min="26" max="26" width="19.7109375" style="27" customWidth="1"/>
    <col min="27" max="27" width="40.7109375" style="27" bestFit="1" customWidth="1"/>
    <col min="28" max="29" width="19.7109375" style="27" customWidth="1"/>
    <col min="30" max="30" width="40.7109375" style="27" bestFit="1" customWidth="1"/>
    <col min="31" max="31" width="19" style="27" customWidth="1"/>
    <col min="32" max="46" width="8.7109375" style="27" customWidth="1"/>
    <col min="47" max="16384" width="14.42578125" style="27"/>
  </cols>
  <sheetData>
    <row r="1" spans="1:31" ht="14.25" customHeight="1">
      <c r="A1" s="25" t="s">
        <v>0</v>
      </c>
      <c r="B1" s="26" t="s">
        <v>1</v>
      </c>
      <c r="C1" s="1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</row>
    <row r="2" spans="1:31" ht="14.25" customHeight="1">
      <c r="A2" s="28">
        <v>1</v>
      </c>
      <c r="B2" s="28">
        <v>1</v>
      </c>
      <c r="C2" s="3" t="s">
        <v>31</v>
      </c>
      <c r="D2" s="28"/>
      <c r="E2" s="20">
        <v>100</v>
      </c>
      <c r="F2" s="28"/>
      <c r="G2" s="20">
        <v>243310</v>
      </c>
      <c r="H2" s="28" t="s">
        <v>32</v>
      </c>
      <c r="I2" s="20">
        <v>28164</v>
      </c>
      <c r="J2" s="28" t="s">
        <v>32</v>
      </c>
      <c r="K2" s="20">
        <v>8.64</v>
      </c>
      <c r="L2" s="28" t="s">
        <v>33</v>
      </c>
      <c r="M2" s="28">
        <v>42.6</v>
      </c>
      <c r="N2" s="28" t="s">
        <v>34</v>
      </c>
      <c r="O2" s="28"/>
      <c r="P2" s="28"/>
      <c r="Q2" s="28"/>
      <c r="R2" s="28"/>
      <c r="S2" s="28"/>
      <c r="T2" s="28"/>
      <c r="U2" s="20" t="s">
        <v>35</v>
      </c>
      <c r="V2" s="28"/>
      <c r="W2" s="28"/>
      <c r="X2" s="28"/>
      <c r="Y2" s="28"/>
      <c r="Z2" s="28"/>
      <c r="AA2" s="28"/>
      <c r="AB2" s="28"/>
      <c r="AC2" s="28"/>
      <c r="AD2" s="28"/>
      <c r="AE2" s="28">
        <v>100</v>
      </c>
    </row>
    <row r="3" spans="1:31" ht="14.25" customHeight="1">
      <c r="A3" s="28">
        <v>1</v>
      </c>
      <c r="B3" s="28">
        <v>2</v>
      </c>
      <c r="C3" s="3" t="s">
        <v>31</v>
      </c>
      <c r="E3" s="27">
        <v>100</v>
      </c>
      <c r="G3" s="20">
        <v>243310</v>
      </c>
      <c r="H3" s="28" t="s">
        <v>32</v>
      </c>
      <c r="I3" s="20">
        <v>28164</v>
      </c>
      <c r="J3" s="28" t="s">
        <v>32</v>
      </c>
      <c r="K3" s="20">
        <v>8.64</v>
      </c>
      <c r="L3" s="28" t="s">
        <v>33</v>
      </c>
      <c r="M3" s="28">
        <v>42.6</v>
      </c>
      <c r="N3" s="28" t="s">
        <v>34</v>
      </c>
      <c r="O3" s="28"/>
      <c r="P3" s="28"/>
      <c r="Q3" s="28"/>
      <c r="R3" s="28"/>
      <c r="S3" s="28"/>
      <c r="T3" s="28"/>
      <c r="U3" s="20" t="s">
        <v>35</v>
      </c>
      <c r="V3" s="28"/>
      <c r="W3" s="28"/>
      <c r="X3" s="28"/>
      <c r="Y3" s="28"/>
      <c r="Z3" s="28"/>
      <c r="AA3" s="28"/>
      <c r="AB3" s="28"/>
      <c r="AC3" s="28"/>
      <c r="AD3" s="28"/>
      <c r="AE3" s="28">
        <v>100</v>
      </c>
    </row>
    <row r="4" spans="1:31" ht="14.25" customHeight="1">
      <c r="A4" s="28">
        <v>1</v>
      </c>
      <c r="B4" s="28">
        <v>3</v>
      </c>
      <c r="C4" s="3" t="s">
        <v>31</v>
      </c>
      <c r="D4" s="28"/>
      <c r="E4" s="20">
        <v>100</v>
      </c>
      <c r="F4" s="28"/>
      <c r="G4" s="20">
        <v>243310</v>
      </c>
      <c r="H4" s="28" t="s">
        <v>32</v>
      </c>
      <c r="I4" s="20">
        <v>28164</v>
      </c>
      <c r="J4" s="28" t="s">
        <v>32</v>
      </c>
      <c r="K4" s="20">
        <v>8.64</v>
      </c>
      <c r="L4" s="28" t="s">
        <v>33</v>
      </c>
      <c r="M4" s="28">
        <v>42.6</v>
      </c>
      <c r="N4" s="28" t="s">
        <v>34</v>
      </c>
      <c r="O4" s="28"/>
      <c r="P4" s="28"/>
      <c r="Q4" s="20"/>
      <c r="R4" s="20"/>
      <c r="S4" s="20"/>
      <c r="T4" s="20"/>
      <c r="U4" s="27" t="s">
        <v>35</v>
      </c>
      <c r="Y4" s="28"/>
      <c r="Z4" s="28"/>
      <c r="AA4" s="28"/>
      <c r="AB4" s="28"/>
      <c r="AC4" s="28"/>
      <c r="AD4" s="28"/>
      <c r="AE4" s="28">
        <v>100</v>
      </c>
    </row>
    <row r="5" spans="1:31" ht="14.25" customHeight="1">
      <c r="A5" s="28">
        <v>1</v>
      </c>
      <c r="B5" s="28">
        <v>4</v>
      </c>
      <c r="C5" s="3" t="s">
        <v>31</v>
      </c>
      <c r="D5" s="20"/>
      <c r="E5" s="20">
        <v>100</v>
      </c>
      <c r="F5" s="20"/>
      <c r="G5" s="20">
        <v>243310</v>
      </c>
      <c r="H5" s="28" t="s">
        <v>32</v>
      </c>
      <c r="I5" s="20">
        <v>28164</v>
      </c>
      <c r="J5" s="28" t="s">
        <v>32</v>
      </c>
      <c r="K5" s="20">
        <v>8.64</v>
      </c>
      <c r="L5" s="28" t="s">
        <v>33</v>
      </c>
      <c r="M5" s="28">
        <v>42.6</v>
      </c>
      <c r="N5" s="28" t="s">
        <v>34</v>
      </c>
      <c r="O5" s="28"/>
      <c r="P5" s="28"/>
      <c r="Q5" s="20"/>
      <c r="R5" s="20"/>
      <c r="S5" s="20"/>
      <c r="T5" s="20"/>
      <c r="U5" s="27" t="s">
        <v>35</v>
      </c>
      <c r="Y5" s="28"/>
      <c r="Z5" s="28"/>
      <c r="AA5" s="28"/>
      <c r="AB5" s="28"/>
      <c r="AC5" s="28"/>
      <c r="AD5" s="28"/>
      <c r="AE5" s="28">
        <v>100</v>
      </c>
    </row>
    <row r="6" spans="1:31" ht="14.25" customHeight="1">
      <c r="A6" s="28">
        <v>1</v>
      </c>
      <c r="B6" s="28">
        <v>5</v>
      </c>
      <c r="C6" s="2" t="s">
        <v>31</v>
      </c>
      <c r="E6" s="28">
        <v>100</v>
      </c>
      <c r="F6" s="28"/>
      <c r="G6" s="20">
        <v>243310</v>
      </c>
      <c r="H6" s="28" t="s">
        <v>32</v>
      </c>
      <c r="I6" s="20">
        <v>28164</v>
      </c>
      <c r="J6" s="28" t="s">
        <v>32</v>
      </c>
      <c r="K6" s="20">
        <v>8.64</v>
      </c>
      <c r="L6" s="28" t="s">
        <v>33</v>
      </c>
      <c r="M6" s="28">
        <v>42.6</v>
      </c>
      <c r="N6" s="28" t="s">
        <v>34</v>
      </c>
      <c r="O6" s="28"/>
      <c r="P6" s="28"/>
      <c r="Q6" s="28"/>
      <c r="R6" s="28"/>
      <c r="S6" s="28"/>
      <c r="T6" s="28"/>
      <c r="U6" s="27" t="s">
        <v>35</v>
      </c>
      <c r="Y6" s="28"/>
      <c r="Z6" s="28"/>
      <c r="AA6" s="28"/>
      <c r="AB6" s="28"/>
      <c r="AC6" s="28"/>
      <c r="AD6" s="28"/>
      <c r="AE6" s="28">
        <v>100</v>
      </c>
    </row>
    <row r="7" spans="1:31" ht="14.25" customHeight="1">
      <c r="A7" s="28">
        <v>1</v>
      </c>
      <c r="B7" s="28">
        <v>6</v>
      </c>
      <c r="C7" s="2" t="s">
        <v>31</v>
      </c>
      <c r="D7" s="28" t="s">
        <v>36</v>
      </c>
      <c r="E7" s="28">
        <v>81</v>
      </c>
      <c r="F7" s="28">
        <v>19</v>
      </c>
      <c r="G7" s="20">
        <v>271590</v>
      </c>
      <c r="H7" s="28" t="s">
        <v>32</v>
      </c>
      <c r="I7" s="20">
        <v>79230</v>
      </c>
      <c r="J7" s="28" t="s">
        <v>32</v>
      </c>
      <c r="K7" s="28">
        <v>3.4</v>
      </c>
      <c r="L7" s="28" t="s">
        <v>33</v>
      </c>
      <c r="M7" s="28">
        <v>13.22</v>
      </c>
      <c r="N7" s="28" t="s">
        <v>34</v>
      </c>
      <c r="O7" s="28"/>
      <c r="P7" s="28"/>
      <c r="Q7" s="28"/>
      <c r="R7" s="28"/>
      <c r="S7" s="28"/>
      <c r="T7" s="28"/>
      <c r="U7" s="20" t="s">
        <v>35</v>
      </c>
      <c r="Y7" s="28"/>
      <c r="Z7" s="28"/>
      <c r="AA7" s="28"/>
      <c r="AB7" s="28"/>
      <c r="AC7" s="28"/>
      <c r="AD7" s="28"/>
      <c r="AE7" s="28">
        <v>100</v>
      </c>
    </row>
    <row r="8" spans="1:31" ht="14.25" customHeight="1">
      <c r="A8" s="28">
        <v>1</v>
      </c>
      <c r="B8" s="28">
        <v>7</v>
      </c>
      <c r="C8" s="2" t="s">
        <v>31</v>
      </c>
      <c r="D8" s="28" t="s">
        <v>36</v>
      </c>
      <c r="E8" s="28">
        <v>81</v>
      </c>
      <c r="F8" s="28">
        <v>19</v>
      </c>
      <c r="G8" s="20">
        <v>271590</v>
      </c>
      <c r="H8" s="28" t="s">
        <v>32</v>
      </c>
      <c r="I8" s="20">
        <v>79230</v>
      </c>
      <c r="J8" s="28" t="s">
        <v>32</v>
      </c>
      <c r="K8" s="28">
        <v>3.4</v>
      </c>
      <c r="L8" s="28" t="s">
        <v>33</v>
      </c>
      <c r="M8" s="28">
        <v>13.22</v>
      </c>
      <c r="N8" s="28" t="s">
        <v>34</v>
      </c>
      <c r="O8" s="28"/>
      <c r="P8" s="28"/>
      <c r="Q8" s="28"/>
      <c r="R8" s="28"/>
      <c r="S8" s="28"/>
      <c r="T8" s="28"/>
      <c r="U8" s="20" t="s">
        <v>35</v>
      </c>
      <c r="Y8" s="28"/>
      <c r="Z8" s="28"/>
      <c r="AA8" s="28"/>
      <c r="AB8" s="28"/>
      <c r="AC8" s="28"/>
      <c r="AD8" s="28"/>
      <c r="AE8" s="28">
        <v>100</v>
      </c>
    </row>
    <row r="9" spans="1:31" ht="14.25" customHeight="1">
      <c r="A9" s="28">
        <v>1</v>
      </c>
      <c r="B9" s="28">
        <v>8</v>
      </c>
      <c r="C9" s="2" t="s">
        <v>31</v>
      </c>
      <c r="D9" s="28" t="s">
        <v>36</v>
      </c>
      <c r="E9" s="28">
        <v>81</v>
      </c>
      <c r="F9" s="28">
        <v>19</v>
      </c>
      <c r="G9" s="20">
        <v>271590</v>
      </c>
      <c r="H9" s="28" t="s">
        <v>32</v>
      </c>
      <c r="I9" s="20">
        <v>79230</v>
      </c>
      <c r="J9" s="28" t="s">
        <v>32</v>
      </c>
      <c r="K9" s="28">
        <v>3.4</v>
      </c>
      <c r="L9" s="28" t="s">
        <v>33</v>
      </c>
      <c r="M9" s="28">
        <v>13.22</v>
      </c>
      <c r="N9" s="28" t="s">
        <v>34</v>
      </c>
      <c r="O9" s="28"/>
      <c r="P9" s="28"/>
      <c r="Q9" s="28"/>
      <c r="R9" s="28"/>
      <c r="S9" s="28"/>
      <c r="T9" s="28"/>
      <c r="U9" s="27" t="s">
        <v>35</v>
      </c>
      <c r="Y9" s="28"/>
      <c r="Z9" s="28"/>
      <c r="AA9" s="28"/>
      <c r="AB9" s="28"/>
      <c r="AC9" s="28"/>
      <c r="AD9" s="28"/>
      <c r="AE9" s="28">
        <v>100</v>
      </c>
    </row>
    <row r="10" spans="1:31" ht="14.25" customHeight="1">
      <c r="A10" s="28">
        <v>1</v>
      </c>
      <c r="B10" s="28">
        <v>9</v>
      </c>
      <c r="C10" s="2" t="s">
        <v>31</v>
      </c>
      <c r="D10" s="28" t="s">
        <v>36</v>
      </c>
      <c r="E10" s="28">
        <v>81</v>
      </c>
      <c r="F10" s="28">
        <v>19</v>
      </c>
      <c r="G10" s="20">
        <v>271590</v>
      </c>
      <c r="H10" s="28" t="s">
        <v>32</v>
      </c>
      <c r="I10" s="20">
        <v>79230</v>
      </c>
      <c r="J10" s="28" t="s">
        <v>32</v>
      </c>
      <c r="K10" s="28">
        <v>3.4</v>
      </c>
      <c r="L10" s="28" t="s">
        <v>33</v>
      </c>
      <c r="M10" s="28">
        <v>13.22</v>
      </c>
      <c r="N10" s="28" t="s">
        <v>34</v>
      </c>
      <c r="O10" s="28"/>
      <c r="P10" s="28"/>
      <c r="Q10" s="28"/>
      <c r="R10" s="28"/>
      <c r="S10" s="28"/>
      <c r="T10" s="28"/>
      <c r="U10" s="27" t="s">
        <v>35</v>
      </c>
      <c r="Y10" s="28"/>
      <c r="Z10" s="28"/>
      <c r="AA10" s="28"/>
      <c r="AB10" s="28"/>
      <c r="AC10" s="28"/>
      <c r="AD10" s="28"/>
      <c r="AE10" s="28">
        <v>100</v>
      </c>
    </row>
    <row r="11" spans="1:31" ht="14.25" customHeight="1">
      <c r="A11" s="28">
        <v>1</v>
      </c>
      <c r="B11" s="28">
        <v>10</v>
      </c>
      <c r="C11" s="2" t="s">
        <v>31</v>
      </c>
      <c r="D11" s="28" t="s">
        <v>36</v>
      </c>
      <c r="E11" s="28">
        <v>81</v>
      </c>
      <c r="F11" s="28">
        <v>19</v>
      </c>
      <c r="G11" s="20">
        <v>271590</v>
      </c>
      <c r="H11" s="28" t="s">
        <v>32</v>
      </c>
      <c r="I11" s="20">
        <v>79230</v>
      </c>
      <c r="J11" s="28" t="s">
        <v>32</v>
      </c>
      <c r="K11" s="28">
        <v>3.4</v>
      </c>
      <c r="L11" s="28" t="s">
        <v>33</v>
      </c>
      <c r="M11" s="28">
        <v>13.22</v>
      </c>
      <c r="N11" s="28" t="s">
        <v>34</v>
      </c>
      <c r="O11" s="28"/>
      <c r="P11" s="28"/>
      <c r="Q11" s="28"/>
      <c r="R11" s="28"/>
      <c r="S11" s="28"/>
      <c r="T11" s="28"/>
      <c r="U11" s="27" t="s">
        <v>35</v>
      </c>
      <c r="Y11" s="28"/>
      <c r="Z11" s="28"/>
      <c r="AA11" s="28"/>
      <c r="AB11" s="28"/>
      <c r="AC11" s="28"/>
      <c r="AD11" s="28"/>
      <c r="AE11" s="28">
        <v>100</v>
      </c>
    </row>
    <row r="12" spans="1:31" ht="14.25" customHeight="1">
      <c r="A12" s="28">
        <v>1</v>
      </c>
      <c r="B12" s="28">
        <v>11</v>
      </c>
      <c r="C12" s="2" t="s">
        <v>31</v>
      </c>
      <c r="D12" s="28"/>
      <c r="E12" s="28">
        <v>100</v>
      </c>
      <c r="F12" s="28"/>
      <c r="G12" s="20">
        <v>243310</v>
      </c>
      <c r="H12" s="28" t="s">
        <v>32</v>
      </c>
      <c r="I12" s="20">
        <v>28164</v>
      </c>
      <c r="J12" s="28" t="s">
        <v>32</v>
      </c>
      <c r="K12" s="20">
        <v>8.64</v>
      </c>
      <c r="L12" s="28" t="s">
        <v>33</v>
      </c>
      <c r="M12" s="28">
        <v>42.6</v>
      </c>
      <c r="N12" s="28" t="s">
        <v>34</v>
      </c>
      <c r="O12" s="28"/>
      <c r="P12" s="28"/>
      <c r="Q12" s="28"/>
      <c r="R12" s="28"/>
      <c r="S12" s="28"/>
      <c r="T12" s="28"/>
      <c r="U12" s="28" t="s">
        <v>37</v>
      </c>
      <c r="V12" s="20" t="s">
        <v>38</v>
      </c>
      <c r="W12" s="28">
        <v>30</v>
      </c>
      <c r="X12" s="28" t="s">
        <v>39</v>
      </c>
      <c r="Y12" s="28"/>
      <c r="Z12" s="28"/>
      <c r="AA12" s="28"/>
      <c r="AB12" s="28"/>
      <c r="AC12" s="28"/>
      <c r="AD12" s="28"/>
      <c r="AE12" s="28">
        <v>70</v>
      </c>
    </row>
    <row r="13" spans="1:31" ht="14.25" customHeight="1">
      <c r="A13" s="28">
        <v>1</v>
      </c>
      <c r="B13" s="28">
        <v>12</v>
      </c>
      <c r="C13" s="2" t="s">
        <v>31</v>
      </c>
      <c r="D13" s="20"/>
      <c r="E13" s="28">
        <v>100</v>
      </c>
      <c r="F13" s="20"/>
      <c r="G13" s="20">
        <v>243310</v>
      </c>
      <c r="H13" s="28" t="s">
        <v>32</v>
      </c>
      <c r="I13" s="20">
        <v>28164</v>
      </c>
      <c r="J13" s="28" t="s">
        <v>32</v>
      </c>
      <c r="K13" s="20">
        <v>8.64</v>
      </c>
      <c r="L13" s="28" t="s">
        <v>33</v>
      </c>
      <c r="M13" s="28">
        <v>42.6</v>
      </c>
      <c r="N13" s="28" t="s">
        <v>34</v>
      </c>
      <c r="O13" s="28"/>
      <c r="P13" s="28"/>
      <c r="Q13" s="28"/>
      <c r="R13" s="28"/>
      <c r="S13" s="28"/>
      <c r="T13" s="28"/>
      <c r="U13" s="28" t="s">
        <v>37</v>
      </c>
      <c r="V13" s="20" t="s">
        <v>38</v>
      </c>
      <c r="W13" s="28">
        <v>30</v>
      </c>
      <c r="X13" s="28" t="s">
        <v>39</v>
      </c>
      <c r="Y13" s="28"/>
      <c r="Z13" s="28"/>
      <c r="AA13" s="28"/>
      <c r="AB13" s="28"/>
      <c r="AC13" s="28"/>
      <c r="AD13" s="28"/>
      <c r="AE13" s="28">
        <v>70</v>
      </c>
    </row>
    <row r="14" spans="1:31" ht="14.25" customHeight="1">
      <c r="A14" s="28">
        <v>1</v>
      </c>
      <c r="B14" s="28">
        <v>13</v>
      </c>
      <c r="C14" s="2" t="s">
        <v>31</v>
      </c>
      <c r="D14" s="28"/>
      <c r="E14" s="28">
        <v>100</v>
      </c>
      <c r="F14" s="28"/>
      <c r="G14" s="20">
        <v>243310</v>
      </c>
      <c r="H14" s="28" t="s">
        <v>32</v>
      </c>
      <c r="I14" s="20">
        <v>28164</v>
      </c>
      <c r="J14" s="28" t="s">
        <v>32</v>
      </c>
      <c r="K14" s="20">
        <v>8.64</v>
      </c>
      <c r="L14" s="28" t="s">
        <v>33</v>
      </c>
      <c r="M14" s="28">
        <v>42.6</v>
      </c>
      <c r="N14" s="28" t="s">
        <v>34</v>
      </c>
      <c r="O14" s="28"/>
      <c r="P14" s="28"/>
      <c r="Q14" s="28"/>
      <c r="R14" s="28"/>
      <c r="S14" s="28"/>
      <c r="T14" s="28"/>
      <c r="U14" s="28" t="s">
        <v>37</v>
      </c>
      <c r="V14" s="28" t="s">
        <v>38</v>
      </c>
      <c r="W14" s="28">
        <v>30</v>
      </c>
      <c r="X14" s="28" t="s">
        <v>39</v>
      </c>
      <c r="Y14" s="28"/>
      <c r="Z14" s="28"/>
      <c r="AA14" s="28"/>
      <c r="AB14" s="28"/>
      <c r="AC14" s="28"/>
      <c r="AD14" s="28"/>
      <c r="AE14" s="28">
        <v>70</v>
      </c>
    </row>
    <row r="15" spans="1:31" ht="14.25" customHeight="1">
      <c r="A15" s="28">
        <v>1</v>
      </c>
      <c r="B15" s="28">
        <v>14</v>
      </c>
      <c r="C15" s="2" t="s">
        <v>31</v>
      </c>
      <c r="D15" s="28"/>
      <c r="E15" s="28">
        <v>100</v>
      </c>
      <c r="F15" s="28"/>
      <c r="G15" s="20">
        <v>243310</v>
      </c>
      <c r="H15" s="28" t="s">
        <v>32</v>
      </c>
      <c r="I15" s="20">
        <v>28164</v>
      </c>
      <c r="J15" s="28" t="s">
        <v>32</v>
      </c>
      <c r="K15" s="20">
        <v>8.64</v>
      </c>
      <c r="L15" s="28" t="s">
        <v>33</v>
      </c>
      <c r="M15" s="28">
        <v>42.6</v>
      </c>
      <c r="N15" s="28" t="s">
        <v>34</v>
      </c>
      <c r="O15" s="28"/>
      <c r="P15" s="28"/>
      <c r="Q15" s="28"/>
      <c r="R15" s="28"/>
      <c r="S15" s="28"/>
      <c r="T15" s="28"/>
      <c r="U15" s="28" t="s">
        <v>37</v>
      </c>
      <c r="V15" s="28" t="s">
        <v>38</v>
      </c>
      <c r="W15" s="28">
        <v>30</v>
      </c>
      <c r="X15" s="28" t="s">
        <v>39</v>
      </c>
      <c r="Y15" s="28"/>
      <c r="Z15" s="28"/>
      <c r="AA15" s="28"/>
      <c r="AB15" s="28"/>
      <c r="AC15" s="28"/>
      <c r="AD15" s="28"/>
      <c r="AE15" s="28">
        <v>70</v>
      </c>
    </row>
    <row r="16" spans="1:31" ht="14.25" customHeight="1">
      <c r="A16" s="28">
        <v>1</v>
      </c>
      <c r="B16" s="28">
        <v>15</v>
      </c>
      <c r="C16" s="2" t="s">
        <v>31</v>
      </c>
      <c r="D16" s="28"/>
      <c r="E16" s="28">
        <v>100</v>
      </c>
      <c r="F16" s="28"/>
      <c r="G16" s="20">
        <v>243310</v>
      </c>
      <c r="H16" s="28" t="s">
        <v>32</v>
      </c>
      <c r="I16" s="20">
        <v>28164</v>
      </c>
      <c r="J16" s="28" t="s">
        <v>32</v>
      </c>
      <c r="K16" s="20">
        <v>8.64</v>
      </c>
      <c r="L16" s="28" t="s">
        <v>33</v>
      </c>
      <c r="M16" s="28">
        <v>42.6</v>
      </c>
      <c r="N16" s="28" t="s">
        <v>34</v>
      </c>
      <c r="O16" s="28"/>
      <c r="P16" s="28"/>
      <c r="Q16" s="28"/>
      <c r="R16" s="28"/>
      <c r="S16" s="28"/>
      <c r="T16" s="28"/>
      <c r="U16" s="28" t="s">
        <v>37</v>
      </c>
      <c r="V16" s="28" t="s">
        <v>38</v>
      </c>
      <c r="W16" s="28">
        <v>30</v>
      </c>
      <c r="X16" s="28" t="s">
        <v>39</v>
      </c>
      <c r="Y16" s="28"/>
      <c r="Z16" s="28"/>
      <c r="AA16" s="28"/>
      <c r="AB16" s="28"/>
      <c r="AC16" s="28"/>
      <c r="AD16" s="28"/>
      <c r="AE16" s="28">
        <v>70</v>
      </c>
    </row>
    <row r="17" spans="1:31" ht="14.25" customHeight="1">
      <c r="A17" s="28">
        <v>1</v>
      </c>
      <c r="B17" s="28">
        <v>16</v>
      </c>
      <c r="C17" s="2" t="s">
        <v>31</v>
      </c>
      <c r="D17" s="27" t="s">
        <v>36</v>
      </c>
      <c r="E17" s="28">
        <v>81</v>
      </c>
      <c r="F17" s="28">
        <v>19</v>
      </c>
      <c r="G17" s="20">
        <v>271590</v>
      </c>
      <c r="H17" s="28" t="s">
        <v>32</v>
      </c>
      <c r="I17" s="20">
        <v>79230</v>
      </c>
      <c r="J17" s="28" t="s">
        <v>32</v>
      </c>
      <c r="K17" s="28">
        <v>3.4</v>
      </c>
      <c r="L17" s="28" t="s">
        <v>33</v>
      </c>
      <c r="M17" s="28">
        <v>13.22</v>
      </c>
      <c r="N17" s="28" t="s">
        <v>34</v>
      </c>
      <c r="O17" s="28"/>
      <c r="P17" s="28"/>
      <c r="Q17" s="28"/>
      <c r="R17" s="28"/>
      <c r="S17" s="28"/>
      <c r="T17" s="28"/>
      <c r="U17" s="28" t="s">
        <v>37</v>
      </c>
      <c r="V17" s="28" t="s">
        <v>38</v>
      </c>
      <c r="W17" s="28">
        <v>30</v>
      </c>
      <c r="X17" s="28" t="s">
        <v>39</v>
      </c>
      <c r="Y17" s="28"/>
      <c r="Z17" s="28"/>
      <c r="AA17" s="28"/>
      <c r="AB17" s="28"/>
      <c r="AC17" s="28"/>
      <c r="AD17" s="28"/>
      <c r="AE17" s="28">
        <v>70</v>
      </c>
    </row>
    <row r="18" spans="1:31" ht="14.25" customHeight="1">
      <c r="A18" s="28">
        <v>1</v>
      </c>
      <c r="B18" s="28">
        <v>17</v>
      </c>
      <c r="C18" s="2" t="s">
        <v>31</v>
      </c>
      <c r="D18" s="28" t="s">
        <v>36</v>
      </c>
      <c r="E18" s="28">
        <v>81</v>
      </c>
      <c r="F18" s="28">
        <v>19</v>
      </c>
      <c r="G18" s="20">
        <v>271590</v>
      </c>
      <c r="H18" s="28" t="s">
        <v>32</v>
      </c>
      <c r="I18" s="20">
        <v>79230</v>
      </c>
      <c r="J18" s="28" t="s">
        <v>32</v>
      </c>
      <c r="K18" s="28">
        <v>3.4</v>
      </c>
      <c r="L18" s="28" t="s">
        <v>33</v>
      </c>
      <c r="M18" s="28">
        <v>13.22</v>
      </c>
      <c r="N18" s="28" t="s">
        <v>34</v>
      </c>
      <c r="O18" s="28"/>
      <c r="P18" s="28"/>
      <c r="Q18" s="28"/>
      <c r="R18" s="28"/>
      <c r="S18" s="28"/>
      <c r="T18" s="28"/>
      <c r="U18" s="28" t="s">
        <v>37</v>
      </c>
      <c r="V18" s="28" t="s">
        <v>38</v>
      </c>
      <c r="W18" s="28">
        <v>30</v>
      </c>
      <c r="X18" s="28" t="s">
        <v>39</v>
      </c>
      <c r="Y18" s="28"/>
      <c r="Z18" s="28"/>
      <c r="AA18" s="28"/>
      <c r="AB18" s="28"/>
      <c r="AC18" s="28"/>
      <c r="AD18" s="28"/>
      <c r="AE18" s="28">
        <v>70</v>
      </c>
    </row>
    <row r="19" spans="1:31" ht="14.25" customHeight="1">
      <c r="A19" s="28">
        <v>1</v>
      </c>
      <c r="B19" s="28">
        <v>18</v>
      </c>
      <c r="C19" s="2" t="s">
        <v>31</v>
      </c>
      <c r="D19" s="28" t="s">
        <v>36</v>
      </c>
      <c r="E19" s="28">
        <v>81</v>
      </c>
      <c r="F19" s="28">
        <v>19</v>
      </c>
      <c r="G19" s="20">
        <v>271590</v>
      </c>
      <c r="H19" s="28" t="s">
        <v>32</v>
      </c>
      <c r="I19" s="20">
        <v>79230</v>
      </c>
      <c r="J19" s="28" t="s">
        <v>32</v>
      </c>
      <c r="K19" s="28">
        <v>3.4</v>
      </c>
      <c r="L19" s="28" t="s">
        <v>33</v>
      </c>
      <c r="M19" s="28">
        <v>13.22</v>
      </c>
      <c r="N19" s="28" t="s">
        <v>34</v>
      </c>
      <c r="O19" s="28"/>
      <c r="P19" s="28"/>
      <c r="Q19" s="28"/>
      <c r="R19" s="28"/>
      <c r="S19" s="28"/>
      <c r="T19" s="28"/>
      <c r="U19" s="28" t="s">
        <v>37</v>
      </c>
      <c r="V19" s="28" t="s">
        <v>38</v>
      </c>
      <c r="W19" s="28">
        <v>30</v>
      </c>
      <c r="X19" s="28" t="s">
        <v>39</v>
      </c>
      <c r="Y19" s="28"/>
      <c r="Z19" s="28"/>
      <c r="AA19" s="28"/>
      <c r="AB19" s="28"/>
      <c r="AC19" s="28"/>
      <c r="AD19" s="28"/>
      <c r="AE19" s="28">
        <v>70</v>
      </c>
    </row>
    <row r="20" spans="1:31" ht="14.25" customHeight="1">
      <c r="A20" s="28">
        <v>1</v>
      </c>
      <c r="B20" s="28">
        <v>19</v>
      </c>
      <c r="C20" s="2" t="s">
        <v>31</v>
      </c>
      <c r="D20" s="28" t="s">
        <v>36</v>
      </c>
      <c r="E20" s="28">
        <v>81</v>
      </c>
      <c r="F20" s="28">
        <v>19</v>
      </c>
      <c r="G20" s="20">
        <v>271590</v>
      </c>
      <c r="H20" s="28" t="s">
        <v>32</v>
      </c>
      <c r="I20" s="20">
        <v>79230</v>
      </c>
      <c r="J20" s="28" t="s">
        <v>32</v>
      </c>
      <c r="K20" s="28">
        <v>3.4</v>
      </c>
      <c r="L20" s="28" t="s">
        <v>33</v>
      </c>
      <c r="M20" s="28">
        <v>13.22</v>
      </c>
      <c r="N20" s="28" t="s">
        <v>34</v>
      </c>
      <c r="O20" s="28"/>
      <c r="P20" s="28"/>
      <c r="Q20" s="28"/>
      <c r="R20" s="28"/>
      <c r="S20" s="28"/>
      <c r="T20" s="28"/>
      <c r="U20" s="28" t="s">
        <v>37</v>
      </c>
      <c r="V20" s="28" t="s">
        <v>38</v>
      </c>
      <c r="W20" s="28">
        <v>30</v>
      </c>
      <c r="X20" s="28" t="s">
        <v>39</v>
      </c>
      <c r="Y20" s="28"/>
      <c r="Z20" s="28"/>
      <c r="AA20" s="28"/>
      <c r="AB20" s="28"/>
      <c r="AC20" s="28"/>
      <c r="AD20" s="28"/>
      <c r="AE20" s="28">
        <v>70</v>
      </c>
    </row>
    <row r="21" spans="1:31" ht="14.25" customHeight="1">
      <c r="A21" s="28">
        <v>1</v>
      </c>
      <c r="B21" s="28">
        <v>20</v>
      </c>
      <c r="C21" s="2" t="s">
        <v>31</v>
      </c>
      <c r="D21" s="28" t="s">
        <v>36</v>
      </c>
      <c r="E21" s="28">
        <v>81</v>
      </c>
      <c r="F21" s="28">
        <v>19</v>
      </c>
      <c r="G21" s="20">
        <v>271590</v>
      </c>
      <c r="H21" s="28" t="s">
        <v>32</v>
      </c>
      <c r="I21" s="20">
        <v>79230</v>
      </c>
      <c r="J21" s="28" t="s">
        <v>32</v>
      </c>
      <c r="K21" s="28">
        <v>3.4</v>
      </c>
      <c r="L21" s="28" t="s">
        <v>33</v>
      </c>
      <c r="M21" s="28">
        <v>13.22</v>
      </c>
      <c r="N21" s="28" t="s">
        <v>34</v>
      </c>
      <c r="O21" s="28"/>
      <c r="P21" s="28"/>
      <c r="Q21" s="28"/>
      <c r="R21" s="28"/>
      <c r="S21" s="28"/>
      <c r="T21" s="28"/>
      <c r="U21" s="28" t="s">
        <v>37</v>
      </c>
      <c r="V21" s="28" t="s">
        <v>38</v>
      </c>
      <c r="W21" s="28">
        <v>30</v>
      </c>
      <c r="X21" s="28" t="s">
        <v>39</v>
      </c>
      <c r="Y21" s="28"/>
      <c r="Z21" s="28"/>
      <c r="AA21" s="28"/>
      <c r="AB21" s="28"/>
      <c r="AC21" s="28"/>
      <c r="AD21" s="28"/>
      <c r="AE21" s="28">
        <v>70</v>
      </c>
    </row>
    <row r="22" spans="1:31" s="41" customFormat="1" ht="14.25" customHeight="1">
      <c r="A22" s="30">
        <v>2</v>
      </c>
      <c r="B22" s="30">
        <v>1</v>
      </c>
      <c r="C22" s="4" t="s">
        <v>31</v>
      </c>
      <c r="D22" s="30" t="s">
        <v>36</v>
      </c>
      <c r="E22" s="30">
        <v>80</v>
      </c>
      <c r="F22" s="30">
        <v>20</v>
      </c>
      <c r="G22" s="30"/>
      <c r="H22" s="30"/>
      <c r="I22" s="30"/>
      <c r="J22" s="30"/>
      <c r="K22" s="30"/>
      <c r="L22" s="30" t="s">
        <v>33</v>
      </c>
      <c r="M22" s="30">
        <v>131</v>
      </c>
      <c r="N22" s="30" t="s">
        <v>34</v>
      </c>
      <c r="O22" s="30"/>
      <c r="P22" s="30"/>
      <c r="Q22" s="30"/>
      <c r="R22" s="30"/>
      <c r="S22" s="30"/>
      <c r="T22" s="30"/>
      <c r="U22" s="30" t="s">
        <v>37</v>
      </c>
      <c r="V22" s="30" t="s">
        <v>40</v>
      </c>
      <c r="W22" s="30">
        <v>2.5</v>
      </c>
      <c r="X22" s="30" t="s">
        <v>41</v>
      </c>
      <c r="Y22" s="30" t="s">
        <v>42</v>
      </c>
      <c r="Z22" s="30">
        <v>2.25</v>
      </c>
      <c r="AA22" s="30" t="s">
        <v>43</v>
      </c>
      <c r="AB22" s="30"/>
      <c r="AC22" s="30"/>
      <c r="AD22" s="30"/>
      <c r="AE22" s="30">
        <v>95.25</v>
      </c>
    </row>
    <row r="23" spans="1:31" ht="14.25" customHeight="1">
      <c r="A23" s="28">
        <v>2</v>
      </c>
      <c r="B23" s="28">
        <v>2</v>
      </c>
      <c r="C23" s="2" t="s">
        <v>31</v>
      </c>
      <c r="D23" s="28" t="s">
        <v>36</v>
      </c>
      <c r="E23" s="28">
        <v>80</v>
      </c>
      <c r="F23" s="28">
        <v>20</v>
      </c>
      <c r="G23" s="28"/>
      <c r="H23" s="28"/>
      <c r="I23" s="28"/>
      <c r="J23" s="28"/>
      <c r="K23" s="28"/>
      <c r="L23" s="28" t="s">
        <v>33</v>
      </c>
      <c r="M23" s="28">
        <v>131</v>
      </c>
      <c r="N23" s="28" t="s">
        <v>34</v>
      </c>
      <c r="O23" s="28"/>
      <c r="P23" s="28"/>
      <c r="Q23" s="28"/>
      <c r="R23" s="28"/>
      <c r="S23" s="28"/>
      <c r="T23" s="28"/>
      <c r="U23" s="28" t="s">
        <v>37</v>
      </c>
      <c r="V23" s="28" t="s">
        <v>40</v>
      </c>
      <c r="W23" s="28">
        <v>2.5</v>
      </c>
      <c r="X23" s="28" t="s">
        <v>41</v>
      </c>
      <c r="Y23" s="28" t="s">
        <v>42</v>
      </c>
      <c r="Z23" s="28">
        <v>2.25</v>
      </c>
      <c r="AA23" s="28" t="s">
        <v>43</v>
      </c>
      <c r="AB23" s="28"/>
      <c r="AC23" s="28"/>
      <c r="AD23" s="28"/>
      <c r="AE23" s="28">
        <v>95.25</v>
      </c>
    </row>
    <row r="24" spans="1:31" ht="14.25" customHeight="1">
      <c r="A24" s="28">
        <v>2</v>
      </c>
      <c r="B24" s="28">
        <v>3</v>
      </c>
      <c r="C24" s="2" t="s">
        <v>31</v>
      </c>
      <c r="D24" s="28" t="s">
        <v>36</v>
      </c>
      <c r="E24" s="28">
        <v>80</v>
      </c>
      <c r="F24" s="28">
        <v>20</v>
      </c>
      <c r="G24" s="28"/>
      <c r="H24" s="28"/>
      <c r="I24" s="28"/>
      <c r="J24" s="28"/>
      <c r="K24" s="28"/>
      <c r="L24" s="28" t="s">
        <v>33</v>
      </c>
      <c r="M24" s="28">
        <v>131</v>
      </c>
      <c r="N24" s="28" t="s">
        <v>34</v>
      </c>
      <c r="O24" s="28"/>
      <c r="P24" s="28"/>
      <c r="Q24" s="28"/>
      <c r="R24" s="28"/>
      <c r="S24" s="28"/>
      <c r="T24" s="28"/>
      <c r="U24" s="28" t="s">
        <v>37</v>
      </c>
      <c r="V24" s="28" t="s">
        <v>40</v>
      </c>
      <c r="W24" s="28">
        <v>2.5</v>
      </c>
      <c r="X24" s="28" t="s">
        <v>41</v>
      </c>
      <c r="Y24" s="28" t="s">
        <v>42</v>
      </c>
      <c r="Z24" s="28">
        <v>2.25</v>
      </c>
      <c r="AA24" s="28" t="s">
        <v>43</v>
      </c>
      <c r="AB24" s="28"/>
      <c r="AC24" s="28"/>
      <c r="AD24" s="28"/>
      <c r="AE24" s="28">
        <v>95.25</v>
      </c>
    </row>
    <row r="25" spans="1:31" ht="14.25" customHeight="1">
      <c r="A25" s="28">
        <v>2</v>
      </c>
      <c r="B25" s="28">
        <v>4</v>
      </c>
      <c r="C25" s="2" t="s">
        <v>31</v>
      </c>
      <c r="D25" s="28" t="s">
        <v>36</v>
      </c>
      <c r="E25" s="28">
        <v>80</v>
      </c>
      <c r="F25" s="28">
        <v>20</v>
      </c>
      <c r="G25" s="28"/>
      <c r="H25" s="28"/>
      <c r="I25" s="28"/>
      <c r="J25" s="28"/>
      <c r="K25" s="28"/>
      <c r="L25" s="28" t="s">
        <v>33</v>
      </c>
      <c r="M25" s="28">
        <v>131</v>
      </c>
      <c r="N25" s="28" t="s">
        <v>34</v>
      </c>
      <c r="O25" s="28"/>
      <c r="P25" s="28"/>
      <c r="Q25" s="28"/>
      <c r="R25" s="28"/>
      <c r="S25" s="28"/>
      <c r="T25" s="28"/>
      <c r="U25" s="28" t="s">
        <v>37</v>
      </c>
      <c r="V25" s="28" t="s">
        <v>40</v>
      </c>
      <c r="W25" s="28">
        <v>2.5</v>
      </c>
      <c r="X25" s="28" t="s">
        <v>41</v>
      </c>
      <c r="Y25" s="28" t="s">
        <v>42</v>
      </c>
      <c r="Z25" s="28">
        <v>2.25</v>
      </c>
      <c r="AA25" s="28" t="s">
        <v>43</v>
      </c>
      <c r="AB25" s="28"/>
      <c r="AC25" s="28"/>
      <c r="AD25" s="28"/>
      <c r="AE25" s="28">
        <v>95.25</v>
      </c>
    </row>
    <row r="26" spans="1:31" ht="14.25" customHeight="1">
      <c r="A26" s="28">
        <v>2</v>
      </c>
      <c r="B26" s="28">
        <v>5</v>
      </c>
      <c r="C26" s="2" t="s">
        <v>31</v>
      </c>
      <c r="D26" s="28" t="s">
        <v>36</v>
      </c>
      <c r="E26" s="28">
        <v>80</v>
      </c>
      <c r="F26" s="28">
        <v>20</v>
      </c>
      <c r="G26" s="28"/>
      <c r="H26" s="28"/>
      <c r="I26" s="28"/>
      <c r="J26" s="28"/>
      <c r="K26" s="28"/>
      <c r="L26" s="28" t="s">
        <v>33</v>
      </c>
      <c r="M26" s="28">
        <v>140</v>
      </c>
      <c r="N26" s="28" t="s">
        <v>34</v>
      </c>
      <c r="O26" s="28"/>
      <c r="P26" s="28"/>
      <c r="Q26" s="28"/>
      <c r="R26" s="28"/>
      <c r="S26" s="28"/>
      <c r="T26" s="28"/>
      <c r="U26" s="28" t="s">
        <v>37</v>
      </c>
      <c r="V26" s="28" t="s">
        <v>40</v>
      </c>
      <c r="W26" s="28">
        <v>2.5</v>
      </c>
      <c r="X26" s="28" t="s">
        <v>41</v>
      </c>
      <c r="Y26" s="28" t="s">
        <v>42</v>
      </c>
      <c r="Z26" s="28">
        <v>2.25</v>
      </c>
      <c r="AA26" s="28" t="s">
        <v>43</v>
      </c>
      <c r="AB26" s="28" t="s">
        <v>44</v>
      </c>
      <c r="AC26" s="28" t="s">
        <v>45</v>
      </c>
      <c r="AD26" s="28"/>
      <c r="AE26" s="28">
        <v>95.25</v>
      </c>
    </row>
    <row r="27" spans="1:31" ht="14.25" customHeight="1">
      <c r="A27" s="28">
        <v>2</v>
      </c>
      <c r="B27" s="28">
        <v>6</v>
      </c>
      <c r="C27" s="2" t="s">
        <v>31</v>
      </c>
      <c r="D27" s="28" t="s">
        <v>36</v>
      </c>
      <c r="E27" s="28">
        <v>80</v>
      </c>
      <c r="F27" s="28">
        <v>20</v>
      </c>
      <c r="G27" s="28"/>
      <c r="H27" s="28"/>
      <c r="I27" s="28"/>
      <c r="J27" s="28"/>
      <c r="K27" s="28"/>
      <c r="L27" s="28" t="s">
        <v>33</v>
      </c>
      <c r="M27" s="28">
        <v>140</v>
      </c>
      <c r="N27" s="28" t="s">
        <v>34</v>
      </c>
      <c r="O27" s="28"/>
      <c r="P27" s="28"/>
      <c r="Q27" s="28"/>
      <c r="R27" s="28"/>
      <c r="S27" s="28"/>
      <c r="T27" s="28"/>
      <c r="U27" s="28" t="s">
        <v>37</v>
      </c>
      <c r="V27" s="28" t="s">
        <v>40</v>
      </c>
      <c r="W27" s="28">
        <v>2.5</v>
      </c>
      <c r="X27" s="28" t="s">
        <v>41</v>
      </c>
      <c r="Y27" s="28" t="s">
        <v>42</v>
      </c>
      <c r="Z27" s="28">
        <v>2.25</v>
      </c>
      <c r="AA27" s="28" t="s">
        <v>43</v>
      </c>
      <c r="AB27" s="28" t="s">
        <v>44</v>
      </c>
      <c r="AC27" s="28" t="s">
        <v>45</v>
      </c>
      <c r="AD27" s="28"/>
      <c r="AE27" s="28">
        <v>95.25</v>
      </c>
    </row>
    <row r="28" spans="1:31" ht="14.25" customHeight="1">
      <c r="A28" s="28">
        <v>2</v>
      </c>
      <c r="B28" s="28">
        <v>7</v>
      </c>
      <c r="C28" s="2" t="s">
        <v>31</v>
      </c>
      <c r="D28" s="28" t="s">
        <v>36</v>
      </c>
      <c r="E28" s="28">
        <v>80</v>
      </c>
      <c r="F28" s="28">
        <v>20</v>
      </c>
      <c r="G28" s="28"/>
      <c r="H28" s="28"/>
      <c r="I28" s="28"/>
      <c r="J28" s="28"/>
      <c r="K28" s="28"/>
      <c r="L28" s="28" t="s">
        <v>33</v>
      </c>
      <c r="M28" s="28">
        <v>140</v>
      </c>
      <c r="N28" s="28" t="s">
        <v>34</v>
      </c>
      <c r="O28" s="28"/>
      <c r="P28" s="28"/>
      <c r="Q28" s="28"/>
      <c r="R28" s="28"/>
      <c r="S28" s="28"/>
      <c r="T28" s="28"/>
      <c r="U28" s="28" t="s">
        <v>37</v>
      </c>
      <c r="V28" s="28" t="s">
        <v>40</v>
      </c>
      <c r="W28" s="28">
        <v>2.5</v>
      </c>
      <c r="X28" s="28" t="s">
        <v>41</v>
      </c>
      <c r="Y28" s="28" t="s">
        <v>42</v>
      </c>
      <c r="Z28" s="28">
        <v>2.25</v>
      </c>
      <c r="AA28" s="28" t="s">
        <v>43</v>
      </c>
      <c r="AB28" s="28" t="s">
        <v>44</v>
      </c>
      <c r="AC28" s="28" t="s">
        <v>45</v>
      </c>
      <c r="AD28" s="28"/>
      <c r="AE28" s="28">
        <v>95.25</v>
      </c>
    </row>
    <row r="29" spans="1:31" ht="14.25" customHeight="1">
      <c r="A29" s="28">
        <v>2</v>
      </c>
      <c r="B29" s="28">
        <v>8</v>
      </c>
      <c r="C29" s="2" t="s">
        <v>31</v>
      </c>
      <c r="D29" s="28" t="s">
        <v>36</v>
      </c>
      <c r="E29" s="28">
        <v>80</v>
      </c>
      <c r="F29" s="28">
        <v>20</v>
      </c>
      <c r="G29" s="28"/>
      <c r="H29" s="28"/>
      <c r="I29" s="28"/>
      <c r="J29" s="28"/>
      <c r="K29" s="28"/>
      <c r="L29" s="28" t="s">
        <v>33</v>
      </c>
      <c r="M29" s="28">
        <v>140</v>
      </c>
      <c r="N29" s="28" t="s">
        <v>34</v>
      </c>
      <c r="O29" s="28"/>
      <c r="P29" s="28"/>
      <c r="Q29" s="28"/>
      <c r="R29" s="28"/>
      <c r="S29" s="28"/>
      <c r="T29" s="28"/>
      <c r="U29" s="28" t="s">
        <v>37</v>
      </c>
      <c r="V29" s="28" t="s">
        <v>40</v>
      </c>
      <c r="W29" s="28">
        <v>2.5</v>
      </c>
      <c r="X29" s="29" t="s">
        <v>41</v>
      </c>
      <c r="Y29" s="29" t="s">
        <v>42</v>
      </c>
      <c r="Z29" s="28">
        <v>2.25</v>
      </c>
      <c r="AA29" s="28" t="s">
        <v>43</v>
      </c>
      <c r="AB29" s="28" t="s">
        <v>44</v>
      </c>
      <c r="AC29" s="28" t="s">
        <v>45</v>
      </c>
      <c r="AD29" s="28"/>
      <c r="AE29" s="28">
        <v>95.25</v>
      </c>
    </row>
    <row r="30" spans="1:31" ht="14.25" customHeight="1">
      <c r="A30" s="30">
        <v>3</v>
      </c>
      <c r="B30" s="30">
        <v>1</v>
      </c>
      <c r="C30" s="4" t="s">
        <v>31</v>
      </c>
      <c r="D30" s="30" t="s">
        <v>36</v>
      </c>
      <c r="E30" s="30">
        <v>97.1</v>
      </c>
      <c r="F30" s="30">
        <v>2.9</v>
      </c>
      <c r="G30" s="30"/>
      <c r="H30" s="30"/>
      <c r="I30" s="30"/>
      <c r="J30" s="30"/>
      <c r="K30" s="30"/>
      <c r="L30" s="30" t="s">
        <v>33</v>
      </c>
      <c r="M30" s="30">
        <v>5</v>
      </c>
      <c r="N30" s="30" t="s">
        <v>46</v>
      </c>
      <c r="O30" s="30"/>
      <c r="P30" s="30"/>
      <c r="Q30" s="30"/>
      <c r="R30" s="30"/>
      <c r="S30" s="30"/>
      <c r="T30" s="30"/>
      <c r="U30" s="30" t="s">
        <v>37</v>
      </c>
      <c r="V30" s="30" t="s">
        <v>47</v>
      </c>
      <c r="W30" s="30">
        <v>60.61</v>
      </c>
      <c r="X30" s="28" t="s">
        <v>48</v>
      </c>
      <c r="Y30" s="28" t="s">
        <v>49</v>
      </c>
      <c r="Z30" s="30">
        <v>9.09</v>
      </c>
      <c r="AA30" s="30" t="s">
        <v>50</v>
      </c>
      <c r="AB30" s="30" t="s">
        <v>51</v>
      </c>
      <c r="AC30" s="30">
        <v>15.15</v>
      </c>
      <c r="AD30" s="30"/>
      <c r="AE30" s="30">
        <v>15.15</v>
      </c>
    </row>
    <row r="31" spans="1:31" ht="14.25" customHeight="1">
      <c r="A31" s="28">
        <v>3</v>
      </c>
      <c r="B31" s="28">
        <v>2</v>
      </c>
      <c r="C31" s="2" t="s">
        <v>31</v>
      </c>
      <c r="D31" s="28" t="s">
        <v>36</v>
      </c>
      <c r="E31" s="28">
        <v>97.1</v>
      </c>
      <c r="F31" s="28">
        <v>2.9</v>
      </c>
      <c r="G31" s="28"/>
      <c r="H31" s="28"/>
      <c r="I31" s="28"/>
      <c r="J31" s="28"/>
      <c r="K31" s="28"/>
      <c r="L31" s="28" t="s">
        <v>33</v>
      </c>
      <c r="M31" s="28">
        <v>5</v>
      </c>
      <c r="N31" s="28" t="s">
        <v>46</v>
      </c>
      <c r="O31" s="28"/>
      <c r="P31" s="28"/>
      <c r="Q31" s="28"/>
      <c r="R31" s="28"/>
      <c r="S31" s="28"/>
      <c r="T31" s="28"/>
      <c r="U31" s="28" t="s">
        <v>37</v>
      </c>
      <c r="V31" s="28" t="s">
        <v>47</v>
      </c>
      <c r="W31" s="28">
        <v>60.61</v>
      </c>
      <c r="X31" s="28" t="s">
        <v>48</v>
      </c>
      <c r="Y31" s="28" t="s">
        <v>49</v>
      </c>
      <c r="Z31" s="28">
        <v>9.09</v>
      </c>
      <c r="AA31" s="28" t="s">
        <v>50</v>
      </c>
      <c r="AB31" s="28" t="s">
        <v>51</v>
      </c>
      <c r="AC31" s="28">
        <v>15.15</v>
      </c>
      <c r="AD31" s="28"/>
      <c r="AE31" s="28">
        <v>15.15</v>
      </c>
    </row>
    <row r="32" spans="1:31" ht="14.25" customHeight="1">
      <c r="A32" s="28">
        <v>3</v>
      </c>
      <c r="B32" s="28">
        <v>3</v>
      </c>
      <c r="C32" s="2" t="s">
        <v>31</v>
      </c>
      <c r="D32" s="28" t="s">
        <v>36</v>
      </c>
      <c r="E32" s="28">
        <v>97.1</v>
      </c>
      <c r="F32" s="28">
        <v>2.9</v>
      </c>
      <c r="G32" s="28"/>
      <c r="H32" s="28"/>
      <c r="I32" s="28"/>
      <c r="J32" s="28"/>
      <c r="K32" s="28"/>
      <c r="L32" s="28" t="s">
        <v>33</v>
      </c>
      <c r="M32" s="28">
        <v>5</v>
      </c>
      <c r="N32" s="28" t="s">
        <v>46</v>
      </c>
      <c r="O32" s="28"/>
      <c r="P32" s="28"/>
      <c r="Q32" s="28"/>
      <c r="R32" s="28"/>
      <c r="S32" s="28"/>
      <c r="T32" s="28"/>
      <c r="U32" s="28" t="s">
        <v>37</v>
      </c>
      <c r="V32" s="28" t="s">
        <v>47</v>
      </c>
      <c r="W32" s="28">
        <v>60.61</v>
      </c>
      <c r="X32" s="28" t="s">
        <v>48</v>
      </c>
      <c r="Y32" s="28" t="s">
        <v>49</v>
      </c>
      <c r="Z32" s="28">
        <v>9.09</v>
      </c>
      <c r="AA32" s="28" t="s">
        <v>50</v>
      </c>
      <c r="AB32" s="28" t="s">
        <v>51</v>
      </c>
      <c r="AC32" s="28">
        <v>15.15</v>
      </c>
      <c r="AD32" s="28"/>
      <c r="AE32" s="28">
        <v>15.15</v>
      </c>
    </row>
    <row r="33" spans="1:32" ht="14.25" customHeight="1">
      <c r="A33" s="28">
        <v>3</v>
      </c>
      <c r="B33" s="28">
        <v>4</v>
      </c>
      <c r="C33" s="2" t="s">
        <v>31</v>
      </c>
      <c r="D33" s="28" t="s">
        <v>36</v>
      </c>
      <c r="E33" s="28">
        <v>97.1</v>
      </c>
      <c r="F33" s="28">
        <v>2.9</v>
      </c>
      <c r="G33" s="28"/>
      <c r="H33" s="28"/>
      <c r="I33" s="28"/>
      <c r="J33" s="28"/>
      <c r="K33" s="28"/>
      <c r="L33" s="28" t="s">
        <v>33</v>
      </c>
      <c r="M33" s="28">
        <v>5</v>
      </c>
      <c r="N33" s="28" t="s">
        <v>46</v>
      </c>
      <c r="O33" s="28"/>
      <c r="P33" s="28"/>
      <c r="Q33" s="28"/>
      <c r="R33" s="28"/>
      <c r="S33" s="28"/>
      <c r="T33" s="28"/>
      <c r="U33" s="28" t="s">
        <v>37</v>
      </c>
      <c r="V33" s="28" t="s">
        <v>47</v>
      </c>
      <c r="W33" s="28">
        <v>60.61</v>
      </c>
      <c r="X33" s="28" t="s">
        <v>48</v>
      </c>
      <c r="Y33" s="28" t="s">
        <v>49</v>
      </c>
      <c r="Z33" s="28">
        <v>9.09</v>
      </c>
      <c r="AA33" s="28" t="s">
        <v>50</v>
      </c>
      <c r="AB33" s="28" t="s">
        <v>51</v>
      </c>
      <c r="AC33" s="28">
        <v>15.15</v>
      </c>
      <c r="AD33" s="28"/>
      <c r="AE33" s="28">
        <v>15.15</v>
      </c>
      <c r="AF33" s="28"/>
    </row>
    <row r="34" spans="1:32" ht="14.25" customHeight="1">
      <c r="A34" s="28">
        <v>3</v>
      </c>
      <c r="B34" s="28">
        <v>5</v>
      </c>
      <c r="C34" s="2" t="s">
        <v>31</v>
      </c>
      <c r="D34" s="28" t="s">
        <v>36</v>
      </c>
      <c r="E34" s="28">
        <v>97.1</v>
      </c>
      <c r="F34" s="28">
        <v>2.9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 t="s">
        <v>37</v>
      </c>
      <c r="V34" s="28" t="s">
        <v>47</v>
      </c>
      <c r="W34" s="28">
        <v>60.61</v>
      </c>
      <c r="X34" s="28" t="s">
        <v>48</v>
      </c>
      <c r="Y34" s="28" t="s">
        <v>49</v>
      </c>
      <c r="Z34" s="28">
        <v>9.09</v>
      </c>
      <c r="AA34" s="28" t="s">
        <v>50</v>
      </c>
      <c r="AB34" s="28" t="s">
        <v>51</v>
      </c>
      <c r="AC34" s="28">
        <v>15.15</v>
      </c>
      <c r="AD34" s="28"/>
      <c r="AE34" s="28">
        <v>15.15</v>
      </c>
    </row>
    <row r="35" spans="1:32" ht="14.25" customHeight="1">
      <c r="A35" s="28">
        <v>3</v>
      </c>
      <c r="B35" s="28">
        <v>6</v>
      </c>
      <c r="C35" s="2" t="s">
        <v>31</v>
      </c>
      <c r="D35" s="28" t="s">
        <v>36</v>
      </c>
      <c r="E35" s="28">
        <v>97.1</v>
      </c>
      <c r="F35" s="28">
        <v>2.9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 t="s">
        <v>37</v>
      </c>
      <c r="V35" s="28" t="s">
        <v>47</v>
      </c>
      <c r="W35" s="28">
        <v>53.03</v>
      </c>
      <c r="X35" s="28" t="s">
        <v>48</v>
      </c>
      <c r="Y35" s="28" t="s">
        <v>49</v>
      </c>
      <c r="Z35" s="28">
        <v>9.09</v>
      </c>
      <c r="AA35" s="28" t="s">
        <v>50</v>
      </c>
      <c r="AB35" s="28" t="s">
        <v>51</v>
      </c>
      <c r="AC35" s="28">
        <v>15.15</v>
      </c>
      <c r="AD35" s="28"/>
      <c r="AE35" s="28">
        <v>22.73</v>
      </c>
    </row>
    <row r="36" spans="1:32" ht="14.25" customHeight="1">
      <c r="A36" s="28">
        <v>3</v>
      </c>
      <c r="B36" s="28">
        <v>7</v>
      </c>
      <c r="C36" s="2" t="s">
        <v>31</v>
      </c>
      <c r="D36" s="28" t="s">
        <v>36</v>
      </c>
      <c r="E36" s="28">
        <v>97.1</v>
      </c>
      <c r="F36" s="28">
        <v>2.9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 t="s">
        <v>37</v>
      </c>
      <c r="V36" s="28" t="s">
        <v>47</v>
      </c>
      <c r="W36" s="28">
        <v>53.03</v>
      </c>
      <c r="X36" s="28" t="s">
        <v>48</v>
      </c>
      <c r="Y36" s="28" t="s">
        <v>49</v>
      </c>
      <c r="Z36" s="28">
        <v>9.09</v>
      </c>
      <c r="AA36" s="28" t="s">
        <v>50</v>
      </c>
      <c r="AB36" s="28" t="s">
        <v>51</v>
      </c>
      <c r="AC36" s="28">
        <v>15.15</v>
      </c>
      <c r="AD36" s="28"/>
      <c r="AE36" s="28">
        <v>22.73</v>
      </c>
    </row>
    <row r="37" spans="1:32" ht="14.25" customHeight="1">
      <c r="A37" s="28">
        <v>3</v>
      </c>
      <c r="B37" s="28">
        <v>8</v>
      </c>
      <c r="C37" s="2" t="s">
        <v>31</v>
      </c>
      <c r="D37" s="28" t="s">
        <v>36</v>
      </c>
      <c r="E37" s="28">
        <v>97.1</v>
      </c>
      <c r="F37" s="28">
        <v>2.9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 t="s">
        <v>37</v>
      </c>
      <c r="V37" s="28" t="s">
        <v>47</v>
      </c>
      <c r="W37" s="28">
        <v>53.03</v>
      </c>
      <c r="X37" s="28" t="s">
        <v>48</v>
      </c>
      <c r="Y37" s="28" t="s">
        <v>49</v>
      </c>
      <c r="Z37" s="28">
        <v>9.09</v>
      </c>
      <c r="AA37" s="28" t="s">
        <v>50</v>
      </c>
      <c r="AB37" s="28" t="s">
        <v>51</v>
      </c>
      <c r="AC37" s="28">
        <v>15.15</v>
      </c>
      <c r="AD37" s="28"/>
      <c r="AE37" s="28">
        <v>22.73</v>
      </c>
    </row>
    <row r="38" spans="1:32" ht="14.25" customHeight="1">
      <c r="A38" s="28">
        <v>3</v>
      </c>
      <c r="B38" s="28">
        <v>9</v>
      </c>
      <c r="C38" s="2" t="s">
        <v>31</v>
      </c>
      <c r="D38" s="28" t="s">
        <v>36</v>
      </c>
      <c r="E38" s="28">
        <v>97.1</v>
      </c>
      <c r="F38" s="28">
        <v>2.9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 t="s">
        <v>37</v>
      </c>
      <c r="V38" s="28" t="s">
        <v>47</v>
      </c>
      <c r="W38" s="28">
        <v>53.03</v>
      </c>
      <c r="X38" s="28" t="s">
        <v>48</v>
      </c>
      <c r="Y38" s="28" t="s">
        <v>49</v>
      </c>
      <c r="Z38" s="28">
        <v>9.09</v>
      </c>
      <c r="AA38" s="28" t="s">
        <v>50</v>
      </c>
      <c r="AB38" s="28" t="s">
        <v>51</v>
      </c>
      <c r="AC38" s="28">
        <v>15.15</v>
      </c>
      <c r="AD38" s="28"/>
      <c r="AE38" s="28">
        <v>22.73</v>
      </c>
    </row>
    <row r="39" spans="1:32" ht="14.25" customHeight="1">
      <c r="A39" s="28">
        <v>3</v>
      </c>
      <c r="B39" s="28">
        <v>10</v>
      </c>
      <c r="C39" s="2" t="s">
        <v>31</v>
      </c>
      <c r="D39" s="28" t="s">
        <v>36</v>
      </c>
      <c r="E39" s="28">
        <v>97.1</v>
      </c>
      <c r="F39" s="28">
        <v>2.9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 t="s">
        <v>37</v>
      </c>
      <c r="V39" s="28" t="s">
        <v>47</v>
      </c>
      <c r="W39" s="28">
        <v>53.03</v>
      </c>
      <c r="X39" s="28" t="s">
        <v>48</v>
      </c>
      <c r="Y39" s="28" t="s">
        <v>49</v>
      </c>
      <c r="Z39" s="28">
        <v>9.09</v>
      </c>
      <c r="AA39" s="28" t="s">
        <v>50</v>
      </c>
      <c r="AB39" s="28" t="s">
        <v>51</v>
      </c>
      <c r="AC39" s="28">
        <v>15.15</v>
      </c>
      <c r="AD39" s="28"/>
      <c r="AE39" s="28">
        <v>22.73</v>
      </c>
    </row>
    <row r="40" spans="1:32" ht="14.25" customHeight="1">
      <c r="A40" s="28">
        <v>3</v>
      </c>
      <c r="B40" s="28">
        <v>11</v>
      </c>
      <c r="C40" s="2" t="s">
        <v>31</v>
      </c>
      <c r="D40" s="28" t="s">
        <v>36</v>
      </c>
      <c r="E40" s="28">
        <v>97.1</v>
      </c>
      <c r="F40" s="28">
        <v>2.9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 t="s">
        <v>37</v>
      </c>
      <c r="V40" s="28" t="s">
        <v>47</v>
      </c>
      <c r="W40" s="28">
        <v>55.94</v>
      </c>
      <c r="X40" s="28" t="s">
        <v>48</v>
      </c>
      <c r="Y40" s="28" t="s">
        <v>49</v>
      </c>
      <c r="Z40" s="28">
        <v>9.09</v>
      </c>
      <c r="AA40" s="28" t="s">
        <v>50</v>
      </c>
      <c r="AB40" s="28" t="s">
        <v>51</v>
      </c>
      <c r="AC40" s="28">
        <v>20.98</v>
      </c>
      <c r="AD40" s="28"/>
      <c r="AE40" s="28">
        <v>13.99</v>
      </c>
    </row>
    <row r="41" spans="1:32" ht="14.25" customHeight="1">
      <c r="A41" s="28">
        <v>3</v>
      </c>
      <c r="B41" s="28">
        <v>12</v>
      </c>
      <c r="C41" s="2" t="s">
        <v>31</v>
      </c>
      <c r="D41" s="28" t="s">
        <v>36</v>
      </c>
      <c r="E41" s="28">
        <v>97.1</v>
      </c>
      <c r="F41" s="28">
        <v>2.9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 t="s">
        <v>37</v>
      </c>
      <c r="V41" s="28" t="s">
        <v>47</v>
      </c>
      <c r="W41" s="28">
        <v>55.94</v>
      </c>
      <c r="X41" s="28" t="s">
        <v>48</v>
      </c>
      <c r="Y41" s="28" t="s">
        <v>49</v>
      </c>
      <c r="Z41" s="28">
        <v>9.09</v>
      </c>
      <c r="AA41" s="28" t="s">
        <v>50</v>
      </c>
      <c r="AB41" s="28" t="s">
        <v>51</v>
      </c>
      <c r="AC41" s="28">
        <v>20.98</v>
      </c>
      <c r="AD41" s="28"/>
      <c r="AE41" s="28">
        <v>13.99</v>
      </c>
    </row>
    <row r="42" spans="1:32" ht="14.25" customHeight="1">
      <c r="A42" s="28">
        <v>3</v>
      </c>
      <c r="B42" s="28">
        <v>13</v>
      </c>
      <c r="C42" s="2" t="s">
        <v>31</v>
      </c>
      <c r="D42" s="28" t="s">
        <v>36</v>
      </c>
      <c r="E42" s="28">
        <v>97.1</v>
      </c>
      <c r="F42" s="28">
        <v>2.9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 t="s">
        <v>37</v>
      </c>
      <c r="V42" s="28" t="s">
        <v>47</v>
      </c>
      <c r="W42" s="28">
        <v>55.94</v>
      </c>
      <c r="X42" s="28" t="s">
        <v>48</v>
      </c>
      <c r="Y42" s="28" t="s">
        <v>49</v>
      </c>
      <c r="Z42" s="28">
        <v>9.09</v>
      </c>
      <c r="AA42" s="28" t="s">
        <v>50</v>
      </c>
      <c r="AB42" s="28" t="s">
        <v>51</v>
      </c>
      <c r="AC42" s="28">
        <v>20.98</v>
      </c>
      <c r="AD42" s="28"/>
      <c r="AE42" s="28">
        <v>13.99</v>
      </c>
    </row>
    <row r="43" spans="1:32" ht="14.25" customHeight="1">
      <c r="A43" s="28">
        <v>3</v>
      </c>
      <c r="B43" s="28">
        <v>14</v>
      </c>
      <c r="C43" s="2" t="s">
        <v>31</v>
      </c>
      <c r="D43" s="28" t="s">
        <v>36</v>
      </c>
      <c r="E43" s="28">
        <v>97.1</v>
      </c>
      <c r="F43" s="28">
        <v>2.9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 t="s">
        <v>37</v>
      </c>
      <c r="V43" s="28" t="s">
        <v>47</v>
      </c>
      <c r="W43" s="28">
        <v>55.94</v>
      </c>
      <c r="X43" s="28" t="s">
        <v>48</v>
      </c>
      <c r="Y43" s="28" t="s">
        <v>49</v>
      </c>
      <c r="Z43" s="28">
        <v>9.09</v>
      </c>
      <c r="AA43" s="28" t="s">
        <v>50</v>
      </c>
      <c r="AB43" s="28" t="s">
        <v>51</v>
      </c>
      <c r="AC43" s="28">
        <v>20.98</v>
      </c>
      <c r="AD43" s="28"/>
      <c r="AE43" s="28">
        <v>13.99</v>
      </c>
    </row>
    <row r="44" spans="1:32" ht="14.25" customHeight="1">
      <c r="A44" s="28">
        <v>3</v>
      </c>
      <c r="B44" s="28">
        <v>15</v>
      </c>
      <c r="C44" s="2" t="s">
        <v>31</v>
      </c>
      <c r="D44" s="28" t="s">
        <v>36</v>
      </c>
      <c r="E44" s="28">
        <v>97.1</v>
      </c>
      <c r="F44" s="28">
        <v>2.9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 t="s">
        <v>37</v>
      </c>
      <c r="V44" s="28" t="s">
        <v>47</v>
      </c>
      <c r="W44" s="28">
        <v>55.94</v>
      </c>
      <c r="X44" s="28" t="s">
        <v>48</v>
      </c>
      <c r="Y44" s="28" t="s">
        <v>49</v>
      </c>
      <c r="Z44" s="28">
        <v>9.09</v>
      </c>
      <c r="AA44" s="28" t="s">
        <v>50</v>
      </c>
      <c r="AB44" s="28" t="s">
        <v>51</v>
      </c>
      <c r="AC44" s="28">
        <v>20.98</v>
      </c>
      <c r="AD44" s="28"/>
      <c r="AE44" s="28">
        <v>13.99</v>
      </c>
    </row>
    <row r="45" spans="1:32" ht="14.25" customHeight="1">
      <c r="A45" s="28">
        <v>3</v>
      </c>
      <c r="B45" s="28">
        <v>16</v>
      </c>
      <c r="C45" s="2" t="s">
        <v>31</v>
      </c>
      <c r="D45" s="28" t="s">
        <v>36</v>
      </c>
      <c r="E45" s="28">
        <v>97.1</v>
      </c>
      <c r="F45" s="28">
        <v>2.9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 t="s">
        <v>37</v>
      </c>
      <c r="V45" s="28" t="s">
        <v>47</v>
      </c>
      <c r="W45" s="28">
        <v>48.95</v>
      </c>
      <c r="X45" s="28" t="s">
        <v>48</v>
      </c>
      <c r="Y45" s="28" t="s">
        <v>49</v>
      </c>
      <c r="Z45" s="28">
        <v>9.09</v>
      </c>
      <c r="AA45" s="28" t="s">
        <v>50</v>
      </c>
      <c r="AB45" s="28" t="s">
        <v>51</v>
      </c>
      <c r="AC45" s="28">
        <v>20.98</v>
      </c>
      <c r="AD45" s="28"/>
      <c r="AE45" s="28">
        <v>20.98</v>
      </c>
    </row>
    <row r="46" spans="1:32" ht="14.25" customHeight="1">
      <c r="A46" s="28">
        <v>3</v>
      </c>
      <c r="B46" s="28">
        <v>17</v>
      </c>
      <c r="C46" s="2" t="s">
        <v>31</v>
      </c>
      <c r="D46" s="28" t="s">
        <v>36</v>
      </c>
      <c r="E46" s="28">
        <v>97.1</v>
      </c>
      <c r="F46" s="28">
        <v>2.9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 t="s">
        <v>37</v>
      </c>
      <c r="V46" s="28" t="s">
        <v>47</v>
      </c>
      <c r="W46" s="28">
        <v>48.95</v>
      </c>
      <c r="X46" s="28" t="s">
        <v>48</v>
      </c>
      <c r="Y46" s="28" t="s">
        <v>49</v>
      </c>
      <c r="Z46" s="28">
        <v>9.09</v>
      </c>
      <c r="AA46" s="28" t="s">
        <v>50</v>
      </c>
      <c r="AB46" s="28" t="s">
        <v>51</v>
      </c>
      <c r="AC46" s="28">
        <v>20.98</v>
      </c>
      <c r="AD46" s="28"/>
      <c r="AE46" s="28">
        <v>20.98</v>
      </c>
    </row>
    <row r="47" spans="1:32" ht="14.25" customHeight="1">
      <c r="A47" s="28">
        <v>3</v>
      </c>
      <c r="B47" s="28">
        <v>18</v>
      </c>
      <c r="C47" s="2" t="s">
        <v>31</v>
      </c>
      <c r="D47" s="28" t="s">
        <v>36</v>
      </c>
      <c r="E47" s="28">
        <v>97.1</v>
      </c>
      <c r="F47" s="28">
        <v>2.9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 t="s">
        <v>37</v>
      </c>
      <c r="V47" s="28" t="s">
        <v>47</v>
      </c>
      <c r="W47" s="28">
        <v>48.95</v>
      </c>
      <c r="X47" s="28" t="s">
        <v>48</v>
      </c>
      <c r="Y47" s="28" t="s">
        <v>49</v>
      </c>
      <c r="Z47" s="28">
        <v>9.09</v>
      </c>
      <c r="AA47" s="28" t="s">
        <v>50</v>
      </c>
      <c r="AB47" s="28" t="s">
        <v>51</v>
      </c>
      <c r="AC47" s="28">
        <v>20.98</v>
      </c>
      <c r="AD47" s="28"/>
      <c r="AE47" s="28">
        <v>20.98</v>
      </c>
    </row>
    <row r="48" spans="1:32" ht="14.25" customHeight="1">
      <c r="A48" s="28">
        <v>3</v>
      </c>
      <c r="B48" s="28">
        <v>19</v>
      </c>
      <c r="C48" s="2" t="s">
        <v>31</v>
      </c>
      <c r="D48" s="28" t="s">
        <v>36</v>
      </c>
      <c r="E48" s="28">
        <v>97.1</v>
      </c>
      <c r="F48" s="28">
        <v>2.9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 t="s">
        <v>37</v>
      </c>
      <c r="V48" s="28" t="s">
        <v>47</v>
      </c>
      <c r="W48" s="28">
        <v>48.95</v>
      </c>
      <c r="X48" s="28" t="s">
        <v>48</v>
      </c>
      <c r="Y48" s="28" t="s">
        <v>49</v>
      </c>
      <c r="Z48" s="28">
        <v>9.09</v>
      </c>
      <c r="AA48" s="28" t="s">
        <v>50</v>
      </c>
      <c r="AB48" s="28" t="s">
        <v>51</v>
      </c>
      <c r="AC48" s="28">
        <v>20.98</v>
      </c>
      <c r="AD48" s="28"/>
      <c r="AE48" s="28">
        <v>20.98</v>
      </c>
    </row>
    <row r="49" spans="1:31" ht="14.25" customHeight="1">
      <c r="A49" s="28">
        <v>3</v>
      </c>
      <c r="B49" s="28">
        <v>20</v>
      </c>
      <c r="C49" s="2" t="s">
        <v>31</v>
      </c>
      <c r="D49" s="28" t="s">
        <v>36</v>
      </c>
      <c r="E49" s="28">
        <v>97.1</v>
      </c>
      <c r="F49" s="28">
        <v>2.9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 t="s">
        <v>37</v>
      </c>
      <c r="V49" s="28" t="s">
        <v>47</v>
      </c>
      <c r="W49" s="28">
        <v>48.95</v>
      </c>
      <c r="X49" s="28" t="s">
        <v>48</v>
      </c>
      <c r="Y49" s="28" t="s">
        <v>49</v>
      </c>
      <c r="Z49" s="28">
        <v>9.09</v>
      </c>
      <c r="AA49" s="28" t="s">
        <v>50</v>
      </c>
      <c r="AB49" s="28" t="s">
        <v>51</v>
      </c>
      <c r="AC49" s="28">
        <v>20.98</v>
      </c>
      <c r="AD49" s="28"/>
      <c r="AE49" s="28">
        <v>20.98</v>
      </c>
    </row>
    <row r="50" spans="1:31" ht="14.25" customHeight="1">
      <c r="A50" s="30">
        <v>4</v>
      </c>
      <c r="B50" s="30">
        <v>1</v>
      </c>
      <c r="C50" s="4" t="s">
        <v>31</v>
      </c>
      <c r="D50" s="30" t="s">
        <v>36</v>
      </c>
      <c r="E50" s="30">
        <v>90.2</v>
      </c>
      <c r="F50" s="30">
        <v>9.8000000000000007</v>
      </c>
      <c r="G50" s="30">
        <v>92000</v>
      </c>
      <c r="H50" s="30" t="s">
        <v>32</v>
      </c>
      <c r="I50" s="30"/>
      <c r="J50" s="30"/>
      <c r="K50" s="30"/>
      <c r="L50" s="30" t="s">
        <v>52</v>
      </c>
      <c r="M50" s="30"/>
      <c r="N50" s="30"/>
      <c r="O50" s="30"/>
      <c r="P50" s="30"/>
      <c r="Q50" s="30">
        <v>43.21</v>
      </c>
      <c r="R50" s="30" t="s">
        <v>34</v>
      </c>
      <c r="S50" s="30"/>
      <c r="T50" s="30"/>
      <c r="U50" s="30" t="s">
        <v>37</v>
      </c>
      <c r="V50" s="30" t="s">
        <v>53</v>
      </c>
      <c r="W50" s="30">
        <v>16.670000000000002</v>
      </c>
      <c r="X50" s="30" t="s">
        <v>39</v>
      </c>
      <c r="Y50" s="30" t="s">
        <v>54</v>
      </c>
      <c r="Z50" s="30">
        <v>16.670000000000002</v>
      </c>
      <c r="AA50" s="30" t="s">
        <v>55</v>
      </c>
      <c r="AB50" s="30"/>
      <c r="AC50" s="30"/>
      <c r="AD50" s="30"/>
      <c r="AE50" s="30">
        <v>66.67</v>
      </c>
    </row>
    <row r="51" spans="1:31" ht="14.25" customHeight="1">
      <c r="A51" s="28">
        <v>4</v>
      </c>
      <c r="B51" s="28">
        <v>2</v>
      </c>
      <c r="C51" s="2" t="s">
        <v>31</v>
      </c>
      <c r="D51" s="28" t="s">
        <v>36</v>
      </c>
      <c r="E51" s="28">
        <v>90.2</v>
      </c>
      <c r="F51" s="28">
        <v>9.8000000000000007</v>
      </c>
      <c r="G51" s="28">
        <v>92000</v>
      </c>
      <c r="H51" s="28" t="s">
        <v>32</v>
      </c>
      <c r="I51" s="28"/>
      <c r="J51" s="28"/>
      <c r="K51" s="28"/>
      <c r="L51" s="28" t="s">
        <v>52</v>
      </c>
      <c r="M51" s="28"/>
      <c r="N51" s="28"/>
      <c r="O51" s="28"/>
      <c r="P51" s="28"/>
      <c r="Q51" s="28">
        <v>43.21</v>
      </c>
      <c r="R51" s="28" t="s">
        <v>34</v>
      </c>
      <c r="S51" s="28"/>
      <c r="T51" s="28"/>
      <c r="U51" s="28" t="s">
        <v>37</v>
      </c>
      <c r="V51" s="28" t="s">
        <v>53</v>
      </c>
      <c r="W51" s="28">
        <v>16.670000000000002</v>
      </c>
      <c r="X51" s="28" t="s">
        <v>39</v>
      </c>
      <c r="Y51" s="28" t="s">
        <v>54</v>
      </c>
      <c r="Z51" s="28">
        <v>16.670000000000002</v>
      </c>
      <c r="AA51" s="28" t="s">
        <v>55</v>
      </c>
      <c r="AB51" s="28"/>
      <c r="AC51" s="28"/>
      <c r="AD51" s="28"/>
      <c r="AE51" s="28">
        <v>66.67</v>
      </c>
    </row>
    <row r="52" spans="1:31" ht="14.25" customHeight="1">
      <c r="A52" s="28">
        <v>4</v>
      </c>
      <c r="B52" s="28">
        <v>3</v>
      </c>
      <c r="C52" s="2" t="s">
        <v>31</v>
      </c>
      <c r="D52" s="28" t="s">
        <v>36</v>
      </c>
      <c r="E52" s="28">
        <v>90.2</v>
      </c>
      <c r="F52" s="28">
        <v>9.8000000000000007</v>
      </c>
      <c r="G52" s="28">
        <v>92000</v>
      </c>
      <c r="H52" s="28" t="s">
        <v>32</v>
      </c>
      <c r="I52" s="28"/>
      <c r="J52" s="28"/>
      <c r="K52" s="28"/>
      <c r="L52" s="28" t="s">
        <v>52</v>
      </c>
      <c r="M52" s="28"/>
      <c r="N52" s="28"/>
      <c r="O52" s="28"/>
      <c r="P52" s="28"/>
      <c r="Q52" s="28">
        <v>43.21</v>
      </c>
      <c r="R52" s="28" t="s">
        <v>34</v>
      </c>
      <c r="S52" s="28"/>
      <c r="T52" s="28"/>
      <c r="U52" s="28" t="s">
        <v>37</v>
      </c>
      <c r="V52" s="28" t="s">
        <v>53</v>
      </c>
      <c r="W52" s="28">
        <v>16.670000000000002</v>
      </c>
      <c r="X52" s="29" t="s">
        <v>39</v>
      </c>
      <c r="Y52" s="28" t="s">
        <v>54</v>
      </c>
      <c r="Z52" s="28">
        <v>16.670000000000002</v>
      </c>
      <c r="AA52" s="28" t="s">
        <v>55</v>
      </c>
      <c r="AB52" s="28"/>
      <c r="AC52" s="28"/>
      <c r="AD52" s="28"/>
      <c r="AE52" s="28">
        <v>66.67</v>
      </c>
    </row>
    <row r="53" spans="1:31" ht="14.25" customHeight="1">
      <c r="A53" s="30">
        <v>5</v>
      </c>
      <c r="B53" s="30">
        <v>1</v>
      </c>
      <c r="C53" s="4" t="s">
        <v>31</v>
      </c>
      <c r="D53" s="30" t="s">
        <v>36</v>
      </c>
      <c r="E53" s="30">
        <v>88</v>
      </c>
      <c r="F53" s="30">
        <v>12</v>
      </c>
      <c r="G53" s="30">
        <v>609530</v>
      </c>
      <c r="H53" s="30" t="s">
        <v>32</v>
      </c>
      <c r="I53" s="30"/>
      <c r="J53" s="30"/>
      <c r="K53" s="30">
        <v>0.52</v>
      </c>
      <c r="L53" s="30" t="s">
        <v>56</v>
      </c>
      <c r="M53" s="30"/>
      <c r="N53" s="30"/>
      <c r="O53" s="30"/>
      <c r="P53" s="30"/>
      <c r="Q53" s="30">
        <v>208.51</v>
      </c>
      <c r="R53" s="30" t="s">
        <v>57</v>
      </c>
      <c r="S53" s="30"/>
      <c r="T53" s="30"/>
      <c r="U53" s="30" t="s">
        <v>37</v>
      </c>
      <c r="V53" s="30" t="s">
        <v>58</v>
      </c>
      <c r="W53" s="30">
        <v>42.13</v>
      </c>
      <c r="X53" s="28" t="s">
        <v>59</v>
      </c>
      <c r="Y53" s="30"/>
      <c r="Z53" s="30"/>
      <c r="AA53" s="30"/>
      <c r="AB53" s="30"/>
      <c r="AC53" s="30"/>
      <c r="AD53" s="30"/>
      <c r="AE53" s="30">
        <v>57.87</v>
      </c>
    </row>
    <row r="54" spans="1:31" ht="14.25" customHeight="1">
      <c r="A54" s="28">
        <v>5</v>
      </c>
      <c r="B54" s="28">
        <v>2</v>
      </c>
      <c r="C54" s="2" t="s">
        <v>31</v>
      </c>
      <c r="D54" s="28" t="s">
        <v>36</v>
      </c>
      <c r="E54" s="28">
        <v>88</v>
      </c>
      <c r="F54" s="28">
        <v>12</v>
      </c>
      <c r="G54" s="28">
        <v>609530</v>
      </c>
      <c r="H54" s="28" t="s">
        <v>32</v>
      </c>
      <c r="I54" s="28"/>
      <c r="J54" s="28"/>
      <c r="K54" s="28">
        <v>0.52</v>
      </c>
      <c r="L54" s="28" t="s">
        <v>56</v>
      </c>
      <c r="M54" s="28"/>
      <c r="N54" s="28"/>
      <c r="O54" s="28"/>
      <c r="P54" s="28"/>
      <c r="Q54" s="28">
        <v>208.51</v>
      </c>
      <c r="R54" s="28" t="s">
        <v>57</v>
      </c>
      <c r="S54" s="28"/>
      <c r="T54" s="28"/>
      <c r="U54" s="28" t="s">
        <v>37</v>
      </c>
      <c r="V54" s="28" t="s">
        <v>58</v>
      </c>
      <c r="W54" s="28">
        <v>42.13</v>
      </c>
      <c r="X54" s="28" t="s">
        <v>59</v>
      </c>
      <c r="Y54" s="28"/>
      <c r="Z54" s="28"/>
      <c r="AA54" s="28"/>
      <c r="AB54" s="28"/>
      <c r="AC54" s="28"/>
      <c r="AD54" s="28"/>
      <c r="AE54" s="28">
        <v>57.87</v>
      </c>
    </row>
    <row r="55" spans="1:31" ht="14.25" customHeight="1">
      <c r="A55" s="28">
        <v>5</v>
      </c>
      <c r="B55" s="28">
        <v>3</v>
      </c>
      <c r="C55" s="2" t="s">
        <v>31</v>
      </c>
      <c r="D55" s="28" t="s">
        <v>36</v>
      </c>
      <c r="E55" s="28">
        <v>88</v>
      </c>
      <c r="F55" s="28">
        <v>12</v>
      </c>
      <c r="G55" s="28">
        <v>609530</v>
      </c>
      <c r="H55" s="28" t="s">
        <v>32</v>
      </c>
      <c r="I55" s="28"/>
      <c r="J55" s="28"/>
      <c r="K55" s="28">
        <v>0.52</v>
      </c>
      <c r="L55" s="28" t="s">
        <v>56</v>
      </c>
      <c r="M55" s="28"/>
      <c r="N55" s="28"/>
      <c r="O55" s="28"/>
      <c r="P55" s="28"/>
      <c r="Q55" s="28">
        <v>208.51</v>
      </c>
      <c r="R55" s="28" t="s">
        <v>57</v>
      </c>
      <c r="S55" s="28"/>
      <c r="T55" s="28"/>
      <c r="U55" s="28" t="s">
        <v>37</v>
      </c>
      <c r="V55" s="28" t="s">
        <v>58</v>
      </c>
      <c r="W55" s="28">
        <v>42.13</v>
      </c>
      <c r="X55" s="28" t="s">
        <v>59</v>
      </c>
      <c r="Y55" s="28"/>
      <c r="Z55" s="28"/>
      <c r="AA55" s="28"/>
      <c r="AB55" s="28"/>
      <c r="AC55" s="28"/>
      <c r="AD55" s="28"/>
      <c r="AE55" s="28">
        <v>57.87</v>
      </c>
    </row>
    <row r="56" spans="1:31" ht="14.25" customHeight="1">
      <c r="A56" s="28">
        <v>5</v>
      </c>
      <c r="B56" s="28">
        <v>4</v>
      </c>
      <c r="C56" s="2" t="s">
        <v>31</v>
      </c>
      <c r="D56" s="28" t="s">
        <v>36</v>
      </c>
      <c r="E56" s="28">
        <v>88</v>
      </c>
      <c r="F56" s="28">
        <v>12</v>
      </c>
      <c r="G56" s="28">
        <v>609530</v>
      </c>
      <c r="H56" s="28" t="s">
        <v>32</v>
      </c>
      <c r="I56" s="28"/>
      <c r="J56" s="28"/>
      <c r="K56" s="28">
        <v>0.52</v>
      </c>
      <c r="L56" s="28" t="s">
        <v>56</v>
      </c>
      <c r="M56" s="28"/>
      <c r="N56" s="28"/>
      <c r="O56" s="28"/>
      <c r="P56" s="28"/>
      <c r="Q56" s="28">
        <v>208.51</v>
      </c>
      <c r="R56" s="28" t="s">
        <v>57</v>
      </c>
      <c r="S56" s="28"/>
      <c r="T56" s="28"/>
      <c r="U56" s="28" t="s">
        <v>37</v>
      </c>
      <c r="V56" s="28" t="s">
        <v>58</v>
      </c>
      <c r="W56" s="28">
        <v>42.13</v>
      </c>
      <c r="X56" s="28" t="s">
        <v>59</v>
      </c>
      <c r="Y56" s="28"/>
      <c r="Z56" s="28"/>
      <c r="AA56" s="28"/>
      <c r="AB56" s="28"/>
      <c r="AC56" s="28"/>
      <c r="AD56" s="28"/>
      <c r="AE56" s="28">
        <v>57.87</v>
      </c>
    </row>
    <row r="57" spans="1:31" ht="14.25" customHeight="1">
      <c r="A57" s="28">
        <v>5</v>
      </c>
      <c r="B57" s="28">
        <v>5</v>
      </c>
      <c r="C57" s="2" t="s">
        <v>31</v>
      </c>
      <c r="D57" s="28" t="s">
        <v>36</v>
      </c>
      <c r="E57" s="28">
        <v>88</v>
      </c>
      <c r="F57" s="28">
        <v>12</v>
      </c>
      <c r="G57" s="28">
        <v>609530</v>
      </c>
      <c r="H57" s="28" t="s">
        <v>32</v>
      </c>
      <c r="I57" s="28"/>
      <c r="J57" s="28"/>
      <c r="K57" s="28">
        <v>0.52</v>
      </c>
      <c r="L57" s="28" t="s">
        <v>56</v>
      </c>
      <c r="M57" s="28"/>
      <c r="N57" s="28"/>
      <c r="O57" s="28"/>
      <c r="P57" s="28"/>
      <c r="Q57" s="28">
        <v>208.51</v>
      </c>
      <c r="R57" s="28" t="s">
        <v>57</v>
      </c>
      <c r="S57" s="28"/>
      <c r="T57" s="28"/>
      <c r="U57" s="28" t="s">
        <v>37</v>
      </c>
      <c r="V57" s="28" t="s">
        <v>58</v>
      </c>
      <c r="W57" s="28">
        <v>42.13</v>
      </c>
      <c r="X57" s="28" t="s">
        <v>59</v>
      </c>
      <c r="Y57" s="28"/>
      <c r="Z57" s="28"/>
      <c r="AA57" s="28"/>
      <c r="AB57" s="28"/>
      <c r="AC57" s="28"/>
      <c r="AD57" s="28"/>
      <c r="AE57" s="28">
        <v>57.87</v>
      </c>
    </row>
    <row r="58" spans="1:31" ht="14.25" customHeight="1">
      <c r="A58" s="28">
        <v>5</v>
      </c>
      <c r="B58" s="28">
        <v>6</v>
      </c>
      <c r="C58" s="2" t="s">
        <v>31</v>
      </c>
      <c r="D58" s="28" t="s">
        <v>36</v>
      </c>
      <c r="E58" s="28">
        <v>88</v>
      </c>
      <c r="F58" s="28">
        <v>12</v>
      </c>
      <c r="G58" s="28">
        <v>609530</v>
      </c>
      <c r="H58" s="28" t="s">
        <v>32</v>
      </c>
      <c r="I58" s="28"/>
      <c r="J58" s="28"/>
      <c r="K58" s="28">
        <v>0.52</v>
      </c>
      <c r="L58" s="28" t="s">
        <v>56</v>
      </c>
      <c r="M58" s="28"/>
      <c r="N58" s="28"/>
      <c r="O58" s="28"/>
      <c r="P58" s="28"/>
      <c r="Q58" s="28">
        <v>208.51</v>
      </c>
      <c r="R58" s="28" t="s">
        <v>57</v>
      </c>
      <c r="S58" s="28"/>
      <c r="T58" s="28"/>
      <c r="U58" s="28" t="s">
        <v>37</v>
      </c>
      <c r="V58" s="28" t="s">
        <v>58</v>
      </c>
      <c r="W58" s="28">
        <v>42.13</v>
      </c>
      <c r="X58" s="28" t="s">
        <v>59</v>
      </c>
      <c r="Y58" s="28"/>
      <c r="Z58" s="28"/>
      <c r="AA58" s="28"/>
      <c r="AB58" s="28"/>
      <c r="AC58" s="28"/>
      <c r="AD58" s="28"/>
      <c r="AE58" s="28">
        <v>57.87</v>
      </c>
    </row>
    <row r="59" spans="1:31" ht="14.25" customHeight="1">
      <c r="A59" s="28">
        <v>5</v>
      </c>
      <c r="B59" s="28">
        <v>7</v>
      </c>
      <c r="C59" s="2" t="s">
        <v>31</v>
      </c>
      <c r="D59" s="28" t="s">
        <v>36</v>
      </c>
      <c r="E59" s="28">
        <v>88</v>
      </c>
      <c r="F59" s="28">
        <v>12</v>
      </c>
      <c r="G59" s="28">
        <v>609530</v>
      </c>
      <c r="H59" s="28" t="s">
        <v>32</v>
      </c>
      <c r="I59" s="28"/>
      <c r="J59" s="28"/>
      <c r="K59" s="28">
        <v>0.52</v>
      </c>
      <c r="L59" s="28" t="s">
        <v>56</v>
      </c>
      <c r="M59" s="28"/>
      <c r="N59" s="28"/>
      <c r="O59" s="28"/>
      <c r="P59" s="28"/>
      <c r="Q59" s="28">
        <v>208.51</v>
      </c>
      <c r="R59" s="28" t="s">
        <v>57</v>
      </c>
      <c r="S59" s="28"/>
      <c r="T59" s="28"/>
      <c r="U59" s="28" t="s">
        <v>37</v>
      </c>
      <c r="V59" s="28" t="s">
        <v>58</v>
      </c>
      <c r="W59" s="28">
        <v>42.13</v>
      </c>
      <c r="X59" s="28" t="s">
        <v>59</v>
      </c>
      <c r="Y59" s="28"/>
      <c r="Z59" s="28"/>
      <c r="AA59" s="28"/>
      <c r="AB59" s="28"/>
      <c r="AC59" s="28"/>
      <c r="AD59" s="28"/>
      <c r="AE59" s="28">
        <v>57.87</v>
      </c>
    </row>
    <row r="60" spans="1:31" ht="14.25" customHeight="1">
      <c r="A60" s="28">
        <v>5</v>
      </c>
      <c r="B60" s="28">
        <v>8</v>
      </c>
      <c r="C60" s="2" t="s">
        <v>31</v>
      </c>
      <c r="D60" s="28" t="s">
        <v>36</v>
      </c>
      <c r="E60" s="28">
        <v>88</v>
      </c>
      <c r="F60" s="28">
        <v>12</v>
      </c>
      <c r="G60" s="28">
        <v>609530</v>
      </c>
      <c r="H60" s="28" t="s">
        <v>32</v>
      </c>
      <c r="I60" s="28"/>
      <c r="J60" s="28"/>
      <c r="K60" s="28">
        <v>0.52</v>
      </c>
      <c r="L60" s="28" t="s">
        <v>56</v>
      </c>
      <c r="M60" s="28"/>
      <c r="N60" s="28"/>
      <c r="O60" s="28"/>
      <c r="P60" s="28"/>
      <c r="Q60" s="28">
        <v>208.51</v>
      </c>
      <c r="R60" s="28" t="s">
        <v>57</v>
      </c>
      <c r="S60" s="28"/>
      <c r="T60" s="28"/>
      <c r="U60" s="28" t="s">
        <v>37</v>
      </c>
      <c r="V60" s="28" t="s">
        <v>58</v>
      </c>
      <c r="W60" s="28">
        <v>42.13</v>
      </c>
      <c r="X60" s="28" t="s">
        <v>59</v>
      </c>
      <c r="Y60" s="28"/>
      <c r="Z60" s="28"/>
      <c r="AA60" s="28"/>
      <c r="AB60" s="28"/>
      <c r="AC60" s="28"/>
      <c r="AD60" s="28"/>
      <c r="AE60" s="28">
        <v>57.87</v>
      </c>
    </row>
    <row r="61" spans="1:31" ht="14.25" customHeight="1">
      <c r="A61" s="28">
        <v>5</v>
      </c>
      <c r="B61" s="28">
        <v>9</v>
      </c>
      <c r="C61" s="2" t="s">
        <v>31</v>
      </c>
      <c r="D61" s="28" t="s">
        <v>36</v>
      </c>
      <c r="E61" s="28">
        <v>88</v>
      </c>
      <c r="F61" s="28">
        <v>12</v>
      </c>
      <c r="G61" s="28">
        <v>609530</v>
      </c>
      <c r="H61" s="28" t="s">
        <v>32</v>
      </c>
      <c r="I61" s="28"/>
      <c r="J61" s="28"/>
      <c r="K61" s="28">
        <v>0.52</v>
      </c>
      <c r="L61" s="28" t="s">
        <v>56</v>
      </c>
      <c r="M61" s="28"/>
      <c r="N61" s="28"/>
      <c r="O61" s="28"/>
      <c r="P61" s="28"/>
      <c r="Q61" s="28">
        <v>208.51</v>
      </c>
      <c r="R61" s="28" t="s">
        <v>57</v>
      </c>
      <c r="S61" s="28"/>
      <c r="T61" s="28"/>
      <c r="U61" s="28" t="s">
        <v>37</v>
      </c>
      <c r="V61" s="28" t="s">
        <v>58</v>
      </c>
      <c r="W61" s="28">
        <v>42.13</v>
      </c>
      <c r="X61" s="28" t="s">
        <v>59</v>
      </c>
      <c r="Y61" s="28"/>
      <c r="Z61" s="28"/>
      <c r="AA61" s="28"/>
      <c r="AB61" s="28"/>
      <c r="AC61" s="28"/>
      <c r="AD61" s="28"/>
      <c r="AE61" s="28">
        <v>57.87</v>
      </c>
    </row>
    <row r="62" spans="1:31" ht="14.25" customHeight="1">
      <c r="A62" s="30">
        <v>6</v>
      </c>
      <c r="B62" s="30">
        <v>1</v>
      </c>
      <c r="C62" s="4" t="s">
        <v>31</v>
      </c>
      <c r="D62" s="30" t="s">
        <v>36</v>
      </c>
      <c r="E62" s="30">
        <v>94</v>
      </c>
      <c r="F62" s="30">
        <v>6</v>
      </c>
      <c r="G62" s="30"/>
      <c r="H62" s="30"/>
      <c r="I62" s="30"/>
      <c r="J62" s="30"/>
      <c r="K62" s="30"/>
      <c r="L62" s="30" t="s">
        <v>60</v>
      </c>
      <c r="M62" s="30">
        <v>0.4</v>
      </c>
      <c r="N62" s="30" t="s">
        <v>61</v>
      </c>
      <c r="O62" s="30"/>
      <c r="P62" s="30"/>
      <c r="Q62" s="30"/>
      <c r="R62" s="30"/>
      <c r="S62" s="30">
        <v>1</v>
      </c>
      <c r="T62" s="30" t="s">
        <v>62</v>
      </c>
      <c r="U62" s="30" t="s">
        <v>35</v>
      </c>
      <c r="V62" s="30"/>
      <c r="W62" s="30"/>
      <c r="X62" s="30"/>
      <c r="Y62" s="30"/>
      <c r="Z62" s="30"/>
      <c r="AA62" s="30"/>
      <c r="AB62" s="30"/>
      <c r="AC62" s="30"/>
      <c r="AD62" s="30"/>
      <c r="AE62" s="30">
        <v>100</v>
      </c>
    </row>
    <row r="63" spans="1:31" ht="14.25" customHeight="1">
      <c r="A63" s="28">
        <v>6</v>
      </c>
      <c r="B63" s="28">
        <v>2</v>
      </c>
      <c r="C63" s="2" t="s">
        <v>31</v>
      </c>
      <c r="D63" s="28" t="s">
        <v>36</v>
      </c>
      <c r="E63" s="28">
        <v>94</v>
      </c>
      <c r="F63" s="28">
        <v>6</v>
      </c>
      <c r="G63" s="28"/>
      <c r="H63" s="28"/>
      <c r="I63" s="28"/>
      <c r="J63" s="28"/>
      <c r="K63" s="28"/>
      <c r="L63" s="28" t="s">
        <v>60</v>
      </c>
      <c r="M63" s="28">
        <v>0.4</v>
      </c>
      <c r="N63" s="28" t="s">
        <v>61</v>
      </c>
      <c r="O63" s="28"/>
      <c r="P63" s="28"/>
      <c r="Q63" s="28"/>
      <c r="R63" s="28"/>
      <c r="S63" s="28">
        <v>1</v>
      </c>
      <c r="T63" s="28" t="s">
        <v>62</v>
      </c>
      <c r="U63" s="28" t="s">
        <v>35</v>
      </c>
      <c r="V63" s="28"/>
      <c r="W63" s="28"/>
      <c r="X63" s="28"/>
      <c r="Y63" s="28"/>
      <c r="Z63" s="28"/>
      <c r="AA63" s="28"/>
      <c r="AB63" s="28"/>
      <c r="AC63" s="28"/>
      <c r="AD63" s="28"/>
      <c r="AE63" s="28">
        <v>100</v>
      </c>
    </row>
    <row r="64" spans="1:31" ht="14.25" customHeight="1">
      <c r="A64" s="28">
        <v>6</v>
      </c>
      <c r="B64" s="28">
        <v>3</v>
      </c>
      <c r="C64" s="2" t="s">
        <v>31</v>
      </c>
      <c r="D64" s="28" t="s">
        <v>36</v>
      </c>
      <c r="E64" s="28">
        <v>94</v>
      </c>
      <c r="F64" s="28">
        <v>6</v>
      </c>
      <c r="G64" s="28"/>
      <c r="H64" s="28"/>
      <c r="I64" s="28"/>
      <c r="J64" s="28"/>
      <c r="K64" s="28"/>
      <c r="L64" s="28" t="s">
        <v>60</v>
      </c>
      <c r="M64" s="28">
        <v>0.4</v>
      </c>
      <c r="N64" s="28" t="s">
        <v>61</v>
      </c>
      <c r="O64" s="28"/>
      <c r="P64" s="28"/>
      <c r="Q64" s="28"/>
      <c r="R64" s="28"/>
      <c r="S64" s="28">
        <v>1</v>
      </c>
      <c r="T64" s="28" t="s">
        <v>62</v>
      </c>
      <c r="U64" s="28" t="s">
        <v>35</v>
      </c>
      <c r="V64" s="28"/>
      <c r="W64" s="28"/>
      <c r="X64" s="28"/>
      <c r="Y64" s="28"/>
      <c r="Z64" s="28"/>
      <c r="AA64" s="28"/>
      <c r="AB64" s="28"/>
      <c r="AC64" s="28"/>
      <c r="AD64" s="28"/>
      <c r="AE64" s="28">
        <v>100</v>
      </c>
    </row>
    <row r="65" spans="1:31" ht="14.25" customHeight="1">
      <c r="A65" s="28">
        <v>6</v>
      </c>
      <c r="B65" s="28">
        <v>4</v>
      </c>
      <c r="C65" s="2" t="s">
        <v>31</v>
      </c>
      <c r="D65" s="28" t="s">
        <v>36</v>
      </c>
      <c r="E65" s="28">
        <v>94</v>
      </c>
      <c r="F65" s="28">
        <v>6</v>
      </c>
      <c r="G65" s="28"/>
      <c r="H65" s="28"/>
      <c r="I65" s="28"/>
      <c r="J65" s="28"/>
      <c r="K65" s="28"/>
      <c r="L65" s="28" t="s">
        <v>60</v>
      </c>
      <c r="M65" s="28">
        <v>0.4</v>
      </c>
      <c r="N65" s="28" t="s">
        <v>61</v>
      </c>
      <c r="O65" s="28"/>
      <c r="P65" s="28"/>
      <c r="Q65" s="28"/>
      <c r="R65" s="28"/>
      <c r="S65" s="28">
        <v>1</v>
      </c>
      <c r="T65" s="28" t="s">
        <v>62</v>
      </c>
      <c r="U65" s="28" t="s">
        <v>35</v>
      </c>
      <c r="V65" s="28"/>
      <c r="W65" s="28"/>
      <c r="X65" s="28"/>
      <c r="Y65" s="28"/>
      <c r="Z65" s="28"/>
      <c r="AA65" s="28"/>
      <c r="AB65" s="28"/>
      <c r="AC65" s="28"/>
      <c r="AD65" s="28"/>
      <c r="AE65" s="28">
        <v>100</v>
      </c>
    </row>
    <row r="66" spans="1:31" ht="14.25" customHeight="1">
      <c r="A66" s="28">
        <v>6</v>
      </c>
      <c r="B66" s="28">
        <v>5</v>
      </c>
      <c r="C66" s="2" t="s">
        <v>31</v>
      </c>
      <c r="D66" s="28" t="s">
        <v>36</v>
      </c>
      <c r="E66" s="28">
        <v>94</v>
      </c>
      <c r="F66" s="28">
        <v>6</v>
      </c>
      <c r="G66" s="28"/>
      <c r="H66" s="28"/>
      <c r="I66" s="28"/>
      <c r="J66" s="28"/>
      <c r="K66" s="28"/>
      <c r="L66" s="28" t="s">
        <v>60</v>
      </c>
      <c r="M66" s="28">
        <v>0.4</v>
      </c>
      <c r="N66" s="28" t="s">
        <v>61</v>
      </c>
      <c r="O66" s="28"/>
      <c r="P66" s="28"/>
      <c r="Q66" s="28"/>
      <c r="R66" s="28"/>
      <c r="S66" s="28">
        <v>1</v>
      </c>
      <c r="T66" s="28" t="s">
        <v>62</v>
      </c>
      <c r="U66" s="28" t="s">
        <v>35</v>
      </c>
      <c r="V66" s="28"/>
      <c r="W66" s="28"/>
      <c r="X66" s="28"/>
      <c r="Y66" s="28"/>
      <c r="Z66" s="28"/>
      <c r="AA66" s="28"/>
      <c r="AB66" s="28"/>
      <c r="AC66" s="28"/>
      <c r="AD66" s="28"/>
      <c r="AE66" s="28">
        <v>100</v>
      </c>
    </row>
    <row r="67" spans="1:31" ht="14.25" customHeight="1">
      <c r="A67" s="28">
        <v>6</v>
      </c>
      <c r="B67" s="28">
        <v>6</v>
      </c>
      <c r="C67" s="2" t="s">
        <v>31</v>
      </c>
      <c r="D67" s="28" t="s">
        <v>36</v>
      </c>
      <c r="E67" s="28">
        <v>94</v>
      </c>
      <c r="F67" s="28">
        <v>6</v>
      </c>
      <c r="G67" s="28"/>
      <c r="H67" s="28"/>
      <c r="I67" s="28"/>
      <c r="J67" s="28"/>
      <c r="K67" s="28"/>
      <c r="L67" s="28" t="s">
        <v>60</v>
      </c>
      <c r="M67" s="28">
        <v>0.4</v>
      </c>
      <c r="N67" s="28" t="s">
        <v>61</v>
      </c>
      <c r="O67" s="28"/>
      <c r="P67" s="28"/>
      <c r="Q67" s="28"/>
      <c r="R67" s="28"/>
      <c r="S67" s="28">
        <v>1</v>
      </c>
      <c r="T67" s="28" t="s">
        <v>62</v>
      </c>
      <c r="U67" s="28" t="s">
        <v>35</v>
      </c>
      <c r="V67" s="28"/>
      <c r="W67" s="28"/>
      <c r="X67" s="28"/>
      <c r="Y67" s="28"/>
      <c r="Z67" s="28"/>
      <c r="AA67" s="28"/>
      <c r="AB67" s="28"/>
      <c r="AC67" s="28"/>
      <c r="AD67" s="28"/>
      <c r="AE67" s="28">
        <v>100</v>
      </c>
    </row>
    <row r="68" spans="1:31" ht="14.25" customHeight="1">
      <c r="A68" s="30">
        <v>7</v>
      </c>
      <c r="B68" s="30">
        <v>1</v>
      </c>
      <c r="C68" s="4" t="s">
        <v>31</v>
      </c>
      <c r="D68" s="30" t="s">
        <v>36</v>
      </c>
      <c r="E68" s="30">
        <v>79</v>
      </c>
      <c r="F68" s="30">
        <v>21</v>
      </c>
      <c r="G68" s="30"/>
      <c r="H68" s="30"/>
      <c r="I68" s="30"/>
      <c r="J68" s="30"/>
      <c r="K68" s="30"/>
      <c r="L68" s="30" t="s">
        <v>33</v>
      </c>
      <c r="M68" s="30">
        <v>2</v>
      </c>
      <c r="N68" s="30" t="s">
        <v>46</v>
      </c>
      <c r="O68" s="30">
        <v>600</v>
      </c>
      <c r="P68" s="30" t="s">
        <v>63</v>
      </c>
      <c r="Q68" s="41"/>
      <c r="R68" s="41"/>
      <c r="S68" s="30"/>
      <c r="T68" s="30"/>
      <c r="U68" s="30" t="s">
        <v>37</v>
      </c>
      <c r="V68" s="30" t="s">
        <v>64</v>
      </c>
      <c r="W68" s="30">
        <v>0.5</v>
      </c>
      <c r="X68" s="30" t="s">
        <v>65</v>
      </c>
      <c r="Y68" s="30"/>
      <c r="Z68" s="30"/>
      <c r="AA68" s="30"/>
      <c r="AB68" s="30"/>
      <c r="AC68" s="30"/>
      <c r="AD68" s="30"/>
      <c r="AE68" s="30">
        <v>99.5</v>
      </c>
    </row>
    <row r="69" spans="1:31" ht="14.25" customHeight="1">
      <c r="A69" s="28">
        <v>7</v>
      </c>
      <c r="B69" s="28">
        <v>2</v>
      </c>
      <c r="C69" s="2" t="s">
        <v>31</v>
      </c>
      <c r="D69" s="28" t="s">
        <v>36</v>
      </c>
      <c r="E69" s="28">
        <v>79</v>
      </c>
      <c r="F69" s="28">
        <v>21</v>
      </c>
      <c r="G69" s="28"/>
      <c r="H69" s="28"/>
      <c r="I69" s="28"/>
      <c r="J69" s="28"/>
      <c r="K69" s="28"/>
      <c r="L69" s="28" t="s">
        <v>33</v>
      </c>
      <c r="M69" s="28">
        <v>2</v>
      </c>
      <c r="N69" s="28" t="s">
        <v>46</v>
      </c>
      <c r="O69" s="28">
        <v>600</v>
      </c>
      <c r="P69" s="28" t="s">
        <v>63</v>
      </c>
      <c r="S69" s="28"/>
      <c r="T69" s="28"/>
      <c r="U69" s="28" t="s">
        <v>37</v>
      </c>
      <c r="V69" s="20" t="s">
        <v>64</v>
      </c>
      <c r="W69" s="28">
        <v>1</v>
      </c>
      <c r="X69" s="28" t="s">
        <v>65</v>
      </c>
      <c r="Y69" s="28"/>
      <c r="Z69" s="28"/>
      <c r="AA69" s="28"/>
      <c r="AB69" s="28"/>
      <c r="AC69" s="28"/>
      <c r="AD69" s="28"/>
      <c r="AE69" s="28">
        <v>99</v>
      </c>
    </row>
    <row r="70" spans="1:31" ht="14.25" customHeight="1">
      <c r="A70" s="28">
        <v>7</v>
      </c>
      <c r="B70" s="28">
        <v>3</v>
      </c>
      <c r="C70" s="2" t="s">
        <v>31</v>
      </c>
      <c r="D70" s="28" t="s">
        <v>66</v>
      </c>
      <c r="E70" s="28">
        <v>79</v>
      </c>
      <c r="F70" s="28">
        <v>21</v>
      </c>
      <c r="G70" s="28"/>
      <c r="H70" s="28"/>
      <c r="I70" s="28"/>
      <c r="J70" s="28"/>
      <c r="K70" s="28"/>
      <c r="L70" s="28" t="s">
        <v>33</v>
      </c>
      <c r="M70" s="28">
        <v>2</v>
      </c>
      <c r="N70" s="28" t="s">
        <v>46</v>
      </c>
      <c r="O70" s="28">
        <v>600</v>
      </c>
      <c r="P70" s="28" t="s">
        <v>63</v>
      </c>
      <c r="S70" s="28"/>
      <c r="T70" s="28"/>
      <c r="U70" s="28" t="s">
        <v>37</v>
      </c>
      <c r="V70" s="28" t="s">
        <v>64</v>
      </c>
      <c r="W70" s="28">
        <v>1.5</v>
      </c>
      <c r="X70" s="28" t="s">
        <v>65</v>
      </c>
      <c r="Y70" s="28"/>
      <c r="Z70" s="28"/>
      <c r="AA70" s="28"/>
      <c r="AB70" s="28"/>
      <c r="AC70" s="28"/>
      <c r="AD70" s="28"/>
      <c r="AE70" s="28">
        <v>98.5</v>
      </c>
    </row>
    <row r="71" spans="1:31" ht="14.25" customHeight="1">
      <c r="A71" s="28">
        <v>7</v>
      </c>
      <c r="B71" s="28">
        <v>4</v>
      </c>
      <c r="C71" s="2" t="s">
        <v>31</v>
      </c>
      <c r="D71" s="28" t="s">
        <v>36</v>
      </c>
      <c r="E71" s="28">
        <v>79</v>
      </c>
      <c r="F71" s="28">
        <v>21</v>
      </c>
      <c r="G71" s="28"/>
      <c r="H71" s="28"/>
      <c r="I71" s="28"/>
      <c r="J71" s="28"/>
      <c r="K71" s="28"/>
      <c r="L71" s="28" t="s">
        <v>33</v>
      </c>
      <c r="M71" s="28">
        <v>2</v>
      </c>
      <c r="N71" s="28" t="s">
        <v>46</v>
      </c>
      <c r="O71" s="28">
        <v>600</v>
      </c>
      <c r="P71" s="28" t="s">
        <v>63</v>
      </c>
      <c r="S71" s="28"/>
      <c r="T71" s="28"/>
      <c r="U71" s="28" t="s">
        <v>37</v>
      </c>
      <c r="V71" s="28" t="s">
        <v>64</v>
      </c>
      <c r="W71" s="28">
        <v>0.5</v>
      </c>
      <c r="X71" s="28" t="s">
        <v>65</v>
      </c>
      <c r="Y71" s="28"/>
      <c r="Z71" s="28"/>
      <c r="AA71" s="28"/>
      <c r="AB71" s="28"/>
      <c r="AC71" s="28"/>
      <c r="AD71" s="28"/>
      <c r="AE71" s="28">
        <v>99.5</v>
      </c>
    </row>
    <row r="72" spans="1:31" ht="14.25" customHeight="1">
      <c r="A72" s="28">
        <v>7</v>
      </c>
      <c r="B72" s="28">
        <v>5</v>
      </c>
      <c r="C72" s="2" t="s">
        <v>31</v>
      </c>
      <c r="D72" s="28" t="s">
        <v>36</v>
      </c>
      <c r="E72" s="28">
        <v>79</v>
      </c>
      <c r="F72" s="28">
        <v>21</v>
      </c>
      <c r="G72" s="28"/>
      <c r="H72" s="28"/>
      <c r="I72" s="28"/>
      <c r="J72" s="28"/>
      <c r="K72" s="28"/>
      <c r="L72" s="28" t="s">
        <v>33</v>
      </c>
      <c r="M72" s="28">
        <v>2</v>
      </c>
      <c r="N72" s="28" t="s">
        <v>46</v>
      </c>
      <c r="O72" s="28">
        <v>600</v>
      </c>
      <c r="P72" s="28" t="s">
        <v>63</v>
      </c>
      <c r="S72" s="28"/>
      <c r="T72" s="28"/>
      <c r="U72" s="28" t="s">
        <v>37</v>
      </c>
      <c r="V72" s="20" t="s">
        <v>64</v>
      </c>
      <c r="W72" s="28">
        <v>1</v>
      </c>
      <c r="X72" s="28" t="s">
        <v>65</v>
      </c>
      <c r="Y72" s="28"/>
      <c r="Z72" s="28"/>
      <c r="AA72" s="28"/>
      <c r="AB72" s="28"/>
      <c r="AC72" s="28"/>
      <c r="AD72" s="28"/>
      <c r="AE72" s="28">
        <v>99</v>
      </c>
    </row>
    <row r="73" spans="1:31" ht="14.25" customHeight="1">
      <c r="A73" s="28">
        <v>7</v>
      </c>
      <c r="B73" s="28">
        <v>6</v>
      </c>
      <c r="C73" s="2" t="s">
        <v>31</v>
      </c>
      <c r="D73" s="28" t="s">
        <v>66</v>
      </c>
      <c r="E73" s="28">
        <v>79</v>
      </c>
      <c r="F73" s="28">
        <v>21</v>
      </c>
      <c r="G73" s="28"/>
      <c r="H73" s="28"/>
      <c r="I73" s="28"/>
      <c r="J73" s="28"/>
      <c r="K73" s="28"/>
      <c r="L73" s="28" t="s">
        <v>33</v>
      </c>
      <c r="M73" s="28">
        <v>2</v>
      </c>
      <c r="N73" s="28" t="s">
        <v>46</v>
      </c>
      <c r="O73" s="28">
        <v>600</v>
      </c>
      <c r="P73" s="28" t="s">
        <v>63</v>
      </c>
      <c r="S73" s="28"/>
      <c r="T73" s="28"/>
      <c r="U73" s="28" t="s">
        <v>37</v>
      </c>
      <c r="V73" s="28" t="s">
        <v>64</v>
      </c>
      <c r="W73" s="28">
        <v>1.5</v>
      </c>
      <c r="X73" s="28" t="s">
        <v>65</v>
      </c>
      <c r="Y73" s="28"/>
      <c r="Z73" s="28"/>
      <c r="AA73" s="28"/>
      <c r="AB73" s="28"/>
      <c r="AC73" s="28"/>
      <c r="AD73" s="28"/>
      <c r="AE73" s="28">
        <v>98.5</v>
      </c>
    </row>
    <row r="74" spans="1:31" ht="14.25" customHeight="1">
      <c r="A74" s="28">
        <v>7</v>
      </c>
      <c r="B74" s="28">
        <v>7</v>
      </c>
      <c r="C74" s="2" t="s">
        <v>31</v>
      </c>
      <c r="D74" s="28" t="s">
        <v>36</v>
      </c>
      <c r="E74" s="28">
        <v>79</v>
      </c>
      <c r="F74" s="28">
        <v>21</v>
      </c>
      <c r="G74" s="28"/>
      <c r="H74" s="28"/>
      <c r="I74" s="28"/>
      <c r="J74" s="28"/>
      <c r="K74" s="28"/>
      <c r="L74" s="28" t="s">
        <v>33</v>
      </c>
      <c r="M74" s="28">
        <v>2</v>
      </c>
      <c r="N74" s="28" t="s">
        <v>46</v>
      </c>
      <c r="O74" s="28">
        <v>600</v>
      </c>
      <c r="P74" s="28" t="s">
        <v>63</v>
      </c>
      <c r="S74" s="28"/>
      <c r="T74" s="28"/>
      <c r="U74" s="28" t="s">
        <v>37</v>
      </c>
      <c r="V74" s="28" t="s">
        <v>64</v>
      </c>
      <c r="W74" s="28">
        <v>0.5</v>
      </c>
      <c r="X74" s="28" t="s">
        <v>65</v>
      </c>
      <c r="Y74" s="28"/>
      <c r="Z74" s="28"/>
      <c r="AA74" s="28"/>
      <c r="AB74" s="28"/>
      <c r="AC74" s="28"/>
      <c r="AD74" s="28"/>
      <c r="AE74" s="28">
        <v>99.5</v>
      </c>
    </row>
    <row r="75" spans="1:31" ht="14.25" customHeight="1">
      <c r="A75" s="28">
        <v>7</v>
      </c>
      <c r="B75" s="28">
        <v>8</v>
      </c>
      <c r="C75" s="2" t="s">
        <v>31</v>
      </c>
      <c r="D75" s="28" t="s">
        <v>36</v>
      </c>
      <c r="E75" s="28">
        <v>79</v>
      </c>
      <c r="F75" s="28">
        <v>21</v>
      </c>
      <c r="G75" s="28"/>
      <c r="H75" s="28"/>
      <c r="I75" s="28"/>
      <c r="J75" s="28"/>
      <c r="K75" s="28"/>
      <c r="L75" s="28" t="s">
        <v>33</v>
      </c>
      <c r="M75" s="28">
        <v>2</v>
      </c>
      <c r="N75" s="28" t="s">
        <v>46</v>
      </c>
      <c r="O75" s="28">
        <v>600</v>
      </c>
      <c r="P75" s="28" t="s">
        <v>63</v>
      </c>
      <c r="S75" s="28"/>
      <c r="T75" s="28"/>
      <c r="U75" s="28" t="s">
        <v>37</v>
      </c>
      <c r="V75" s="20" t="s">
        <v>64</v>
      </c>
      <c r="W75" s="28">
        <v>1</v>
      </c>
      <c r="X75" s="28" t="s">
        <v>65</v>
      </c>
      <c r="Y75" s="28"/>
      <c r="Z75" s="28"/>
      <c r="AA75" s="28"/>
      <c r="AB75" s="28"/>
      <c r="AC75" s="28"/>
      <c r="AD75" s="28"/>
      <c r="AE75" s="28">
        <v>99</v>
      </c>
    </row>
    <row r="76" spans="1:31" ht="14.25" customHeight="1">
      <c r="A76" s="28">
        <v>7</v>
      </c>
      <c r="B76" s="28">
        <v>9</v>
      </c>
      <c r="C76" s="2" t="s">
        <v>31</v>
      </c>
      <c r="D76" s="28" t="s">
        <v>36</v>
      </c>
      <c r="E76" s="28">
        <v>79</v>
      </c>
      <c r="F76" s="28">
        <v>21</v>
      </c>
      <c r="G76" s="28"/>
      <c r="H76" s="28"/>
      <c r="I76" s="28"/>
      <c r="J76" s="28"/>
      <c r="K76" s="28"/>
      <c r="L76" s="28" t="s">
        <v>33</v>
      </c>
      <c r="M76" s="28">
        <v>2</v>
      </c>
      <c r="N76" s="28" t="s">
        <v>46</v>
      </c>
      <c r="O76" s="28">
        <v>600</v>
      </c>
      <c r="P76" s="28" t="s">
        <v>63</v>
      </c>
      <c r="S76" s="28"/>
      <c r="T76" s="28"/>
      <c r="U76" s="28" t="s">
        <v>37</v>
      </c>
      <c r="V76" s="28" t="s">
        <v>64</v>
      </c>
      <c r="W76" s="28">
        <v>1.5</v>
      </c>
      <c r="X76" s="28" t="s">
        <v>65</v>
      </c>
      <c r="Y76" s="28"/>
      <c r="Z76" s="28"/>
      <c r="AA76" s="28"/>
      <c r="AB76" s="28"/>
      <c r="AC76" s="28"/>
      <c r="AD76" s="28"/>
      <c r="AE76" s="28">
        <v>98.5</v>
      </c>
    </row>
    <row r="77" spans="1:31" ht="14.25" customHeight="1">
      <c r="A77" s="30">
        <v>8</v>
      </c>
      <c r="B77" s="30">
        <v>1</v>
      </c>
      <c r="C77" s="4" t="s">
        <v>31</v>
      </c>
      <c r="D77" s="30" t="s">
        <v>36</v>
      </c>
      <c r="E77" s="30">
        <v>91.4</v>
      </c>
      <c r="F77" s="30">
        <v>8.6</v>
      </c>
      <c r="G77" s="30">
        <v>140000</v>
      </c>
      <c r="H77" s="30" t="s">
        <v>32</v>
      </c>
      <c r="I77" s="30"/>
      <c r="J77" s="30"/>
      <c r="K77" s="30">
        <v>1.9</v>
      </c>
      <c r="L77" s="30" t="s">
        <v>67</v>
      </c>
      <c r="M77" s="30"/>
      <c r="N77" s="30"/>
      <c r="O77" s="30"/>
      <c r="P77" s="30"/>
      <c r="Q77" s="30"/>
      <c r="R77" s="30"/>
      <c r="S77" s="30"/>
      <c r="T77" s="30"/>
      <c r="U77" s="30" t="s">
        <v>37</v>
      </c>
      <c r="V77" s="30" t="s">
        <v>68</v>
      </c>
      <c r="W77" s="30">
        <v>30</v>
      </c>
      <c r="X77" s="30" t="s">
        <v>69</v>
      </c>
      <c r="Y77" s="30"/>
      <c r="Z77" s="30"/>
      <c r="AA77" s="30"/>
      <c r="AB77" s="30"/>
      <c r="AC77" s="30"/>
      <c r="AD77" s="30"/>
      <c r="AE77" s="30">
        <v>70</v>
      </c>
    </row>
    <row r="78" spans="1:31" ht="14.25" customHeight="1">
      <c r="A78" s="28">
        <v>8</v>
      </c>
      <c r="B78" s="28">
        <v>2</v>
      </c>
      <c r="C78" s="2" t="s">
        <v>31</v>
      </c>
      <c r="D78" s="28" t="s">
        <v>36</v>
      </c>
      <c r="E78" s="28">
        <v>91.4</v>
      </c>
      <c r="F78" s="28">
        <v>8.6</v>
      </c>
      <c r="G78" s="28">
        <v>140000</v>
      </c>
      <c r="H78" s="28" t="s">
        <v>32</v>
      </c>
      <c r="I78" s="28"/>
      <c r="J78" s="28"/>
      <c r="K78" s="28">
        <v>1.9</v>
      </c>
      <c r="L78" s="28" t="s">
        <v>67</v>
      </c>
      <c r="M78" s="28"/>
      <c r="N78" s="28"/>
      <c r="O78" s="28"/>
      <c r="P78" s="28"/>
      <c r="Q78" s="28"/>
      <c r="R78" s="28"/>
      <c r="S78" s="28"/>
      <c r="T78" s="28"/>
      <c r="U78" s="28" t="s">
        <v>37</v>
      </c>
      <c r="V78" s="28" t="s">
        <v>70</v>
      </c>
      <c r="W78" s="28">
        <v>30</v>
      </c>
      <c r="X78" s="28" t="s">
        <v>69</v>
      </c>
      <c r="Y78" s="28"/>
      <c r="Z78" s="28"/>
      <c r="AA78" s="28"/>
      <c r="AB78" s="28"/>
      <c r="AC78" s="28"/>
      <c r="AD78" s="28"/>
      <c r="AE78" s="28">
        <v>70</v>
      </c>
    </row>
    <row r="79" spans="1:31" ht="14.25" customHeight="1">
      <c r="A79" s="28">
        <v>8</v>
      </c>
      <c r="B79" s="28">
        <v>3</v>
      </c>
      <c r="C79" s="2" t="s">
        <v>31</v>
      </c>
      <c r="D79" s="28" t="s">
        <v>36</v>
      </c>
      <c r="E79" s="28">
        <v>91.4</v>
      </c>
      <c r="F79" s="28">
        <v>8.6</v>
      </c>
      <c r="G79" s="28">
        <v>140000</v>
      </c>
      <c r="H79" s="28" t="s">
        <v>32</v>
      </c>
      <c r="I79" s="28"/>
      <c r="J79" s="28"/>
      <c r="K79" s="28">
        <v>1.9</v>
      </c>
      <c r="L79" s="28" t="s">
        <v>67</v>
      </c>
      <c r="M79" s="28"/>
      <c r="N79" s="28"/>
      <c r="O79" s="28"/>
      <c r="P79" s="28"/>
      <c r="Q79" s="28"/>
      <c r="R79" s="28"/>
      <c r="S79" s="28"/>
      <c r="T79" s="28"/>
      <c r="U79" s="28" t="s">
        <v>35</v>
      </c>
      <c r="V79" s="28"/>
      <c r="W79" s="28"/>
      <c r="X79" s="28"/>
      <c r="Y79" s="28"/>
      <c r="Z79" s="28"/>
      <c r="AA79" s="28"/>
      <c r="AB79" s="28"/>
      <c r="AC79" s="28"/>
      <c r="AD79" s="28"/>
      <c r="AE79" s="28">
        <v>100</v>
      </c>
    </row>
    <row r="80" spans="1:31" ht="14.25" customHeight="1">
      <c r="A80" s="28">
        <v>8</v>
      </c>
      <c r="B80" s="28">
        <v>4</v>
      </c>
      <c r="C80" s="2" t="s">
        <v>31</v>
      </c>
      <c r="D80" s="28" t="s">
        <v>36</v>
      </c>
      <c r="E80" s="28">
        <v>91.4</v>
      </c>
      <c r="F80" s="28">
        <v>8.6</v>
      </c>
      <c r="G80" s="28">
        <v>140000</v>
      </c>
      <c r="H80" s="28" t="s">
        <v>32</v>
      </c>
      <c r="I80" s="28"/>
      <c r="J80" s="28"/>
      <c r="K80" s="28">
        <v>1.9</v>
      </c>
      <c r="L80" s="28" t="s">
        <v>67</v>
      </c>
      <c r="M80" s="28"/>
      <c r="N80" s="28"/>
      <c r="O80" s="28"/>
      <c r="P80" s="28"/>
      <c r="Q80" s="28"/>
      <c r="R80" s="28"/>
      <c r="S80" s="28"/>
      <c r="T80" s="28"/>
      <c r="U80" s="28" t="s">
        <v>37</v>
      </c>
      <c r="V80" s="28" t="s">
        <v>68</v>
      </c>
      <c r="W80" s="28">
        <v>30</v>
      </c>
      <c r="X80" s="28" t="s">
        <v>69</v>
      </c>
      <c r="Y80" s="28"/>
      <c r="Z80" s="28"/>
      <c r="AA80" s="28"/>
      <c r="AB80" s="28"/>
      <c r="AC80" s="28"/>
      <c r="AD80" s="28"/>
      <c r="AE80" s="28">
        <v>70</v>
      </c>
    </row>
    <row r="81" spans="1:31" ht="14.25" customHeight="1">
      <c r="A81" s="28">
        <v>8</v>
      </c>
      <c r="B81" s="28">
        <v>5</v>
      </c>
      <c r="C81" s="2" t="s">
        <v>31</v>
      </c>
      <c r="D81" s="28" t="s">
        <v>36</v>
      </c>
      <c r="E81" s="28">
        <v>91.4</v>
      </c>
      <c r="F81" s="28">
        <v>8.6</v>
      </c>
      <c r="G81" s="28">
        <v>140000</v>
      </c>
      <c r="H81" s="28" t="s">
        <v>32</v>
      </c>
      <c r="I81" s="28"/>
      <c r="J81" s="28"/>
      <c r="K81" s="28">
        <v>1.9</v>
      </c>
      <c r="L81" s="28" t="s">
        <v>67</v>
      </c>
      <c r="M81" s="28"/>
      <c r="N81" s="28"/>
      <c r="O81" s="28"/>
      <c r="P81" s="28"/>
      <c r="Q81" s="28"/>
      <c r="R81" s="28"/>
      <c r="S81" s="28"/>
      <c r="T81" s="28"/>
      <c r="U81" s="28" t="s">
        <v>37</v>
      </c>
      <c r="V81" s="28" t="s">
        <v>70</v>
      </c>
      <c r="W81" s="28">
        <v>30</v>
      </c>
      <c r="X81" s="28" t="s">
        <v>69</v>
      </c>
      <c r="Y81" s="28"/>
      <c r="Z81" s="28"/>
      <c r="AA81" s="28"/>
      <c r="AB81" s="28"/>
      <c r="AC81" s="28"/>
      <c r="AD81" s="28"/>
      <c r="AE81" s="28">
        <v>70</v>
      </c>
    </row>
    <row r="82" spans="1:31" ht="14.25" customHeight="1">
      <c r="A82" s="28">
        <v>8</v>
      </c>
      <c r="B82" s="28">
        <v>6</v>
      </c>
      <c r="C82" s="2" t="s">
        <v>31</v>
      </c>
      <c r="D82" s="28" t="s">
        <v>36</v>
      </c>
      <c r="E82" s="28">
        <v>91.4</v>
      </c>
      <c r="F82" s="28">
        <v>8.6</v>
      </c>
      <c r="G82" s="28">
        <v>140000</v>
      </c>
      <c r="H82" s="28" t="s">
        <v>32</v>
      </c>
      <c r="I82" s="28"/>
      <c r="J82" s="28"/>
      <c r="K82" s="28">
        <v>1.9</v>
      </c>
      <c r="L82" s="28" t="s">
        <v>67</v>
      </c>
      <c r="M82" s="28"/>
      <c r="N82" s="28"/>
      <c r="O82" s="28"/>
      <c r="P82" s="28"/>
      <c r="Q82" s="28"/>
      <c r="R82" s="28"/>
      <c r="S82" s="28"/>
      <c r="T82" s="28"/>
      <c r="U82" s="28" t="s">
        <v>35</v>
      </c>
      <c r="V82" s="28"/>
      <c r="W82" s="28"/>
      <c r="X82" s="28"/>
      <c r="Y82" s="28"/>
      <c r="Z82" s="28"/>
      <c r="AA82" s="28"/>
      <c r="AB82" s="28"/>
      <c r="AC82" s="28"/>
      <c r="AD82" s="28"/>
      <c r="AE82" s="28">
        <v>100</v>
      </c>
    </row>
    <row r="83" spans="1:31" ht="14.25" customHeight="1">
      <c r="A83" s="30">
        <v>9</v>
      </c>
      <c r="B83" s="30">
        <v>1</v>
      </c>
      <c r="C83" s="4" t="s">
        <v>31</v>
      </c>
      <c r="D83" s="30"/>
      <c r="E83" s="30">
        <v>100</v>
      </c>
      <c r="F83" s="30"/>
      <c r="G83" s="30"/>
      <c r="H83" s="30" t="s">
        <v>32</v>
      </c>
      <c r="I83" s="30">
        <v>450000</v>
      </c>
      <c r="J83" s="30"/>
      <c r="K83" s="30"/>
      <c r="L83" s="30" t="s">
        <v>33</v>
      </c>
      <c r="M83" s="30"/>
      <c r="N83" s="30"/>
      <c r="O83" s="30"/>
      <c r="P83" s="30"/>
      <c r="Q83" s="30"/>
      <c r="R83" s="30"/>
      <c r="S83" s="30"/>
      <c r="T83" s="30"/>
      <c r="U83" s="30" t="s">
        <v>35</v>
      </c>
      <c r="V83" s="30"/>
      <c r="W83" s="30"/>
      <c r="X83" s="30"/>
      <c r="Y83" s="30"/>
      <c r="Z83" s="30"/>
      <c r="AA83" s="30"/>
      <c r="AB83" s="30"/>
      <c r="AC83" s="30"/>
      <c r="AD83" s="30"/>
      <c r="AE83" s="30">
        <v>100</v>
      </c>
    </row>
    <row r="84" spans="1:31" ht="14.25" customHeight="1">
      <c r="A84" s="28">
        <v>9</v>
      </c>
      <c r="B84" s="28">
        <v>2</v>
      </c>
      <c r="C84" s="2" t="s">
        <v>31</v>
      </c>
      <c r="D84" s="28"/>
      <c r="E84" s="28">
        <v>100</v>
      </c>
      <c r="F84" s="28"/>
      <c r="G84" s="28"/>
      <c r="H84" s="28" t="s">
        <v>32</v>
      </c>
      <c r="I84" s="28">
        <v>450000</v>
      </c>
      <c r="J84" s="28"/>
      <c r="K84" s="28"/>
      <c r="L84" s="28" t="s">
        <v>33</v>
      </c>
      <c r="M84" s="28"/>
      <c r="N84" s="28"/>
      <c r="O84" s="28"/>
      <c r="P84" s="28"/>
      <c r="Q84" s="28"/>
      <c r="R84" s="28"/>
      <c r="S84" s="28"/>
      <c r="T84" s="28"/>
      <c r="U84" s="28" t="s">
        <v>37</v>
      </c>
      <c r="V84" s="28" t="s">
        <v>71</v>
      </c>
      <c r="W84" s="28">
        <v>20</v>
      </c>
      <c r="X84" s="28" t="s">
        <v>72</v>
      </c>
      <c r="Y84" s="28"/>
      <c r="Z84" s="28"/>
      <c r="AA84" s="28"/>
      <c r="AB84" s="28"/>
      <c r="AC84" s="28"/>
      <c r="AD84" s="28"/>
      <c r="AE84" s="28">
        <v>80</v>
      </c>
    </row>
    <row r="85" spans="1:31" ht="14.25" customHeight="1">
      <c r="A85" s="28">
        <v>9</v>
      </c>
      <c r="B85" s="28">
        <v>3</v>
      </c>
      <c r="C85" s="2" t="s">
        <v>31</v>
      </c>
      <c r="D85" s="28"/>
      <c r="E85" s="28">
        <v>100</v>
      </c>
      <c r="F85" s="28"/>
      <c r="G85" s="28"/>
      <c r="H85" s="28" t="s">
        <v>32</v>
      </c>
      <c r="I85" s="28">
        <v>450000</v>
      </c>
      <c r="J85" s="28"/>
      <c r="K85" s="28"/>
      <c r="L85" s="28" t="s">
        <v>33</v>
      </c>
      <c r="M85" s="28"/>
      <c r="N85" s="28"/>
      <c r="O85" s="28"/>
      <c r="P85" s="28"/>
      <c r="Q85" s="28"/>
      <c r="R85" s="28"/>
      <c r="S85" s="28"/>
      <c r="T85" s="28"/>
      <c r="U85" s="28" t="s">
        <v>37</v>
      </c>
      <c r="V85" s="28" t="s">
        <v>71</v>
      </c>
      <c r="W85" s="28">
        <v>50</v>
      </c>
      <c r="X85" s="28" t="s">
        <v>72</v>
      </c>
      <c r="Y85" s="28"/>
      <c r="Z85" s="28"/>
      <c r="AA85" s="28"/>
      <c r="AB85" s="28"/>
      <c r="AC85" s="28"/>
      <c r="AD85" s="28"/>
      <c r="AE85" s="28">
        <v>50</v>
      </c>
    </row>
    <row r="86" spans="1:31" ht="14.25" customHeight="1">
      <c r="A86" s="28">
        <v>9</v>
      </c>
      <c r="B86" s="28">
        <v>4</v>
      </c>
      <c r="C86" s="2" t="s">
        <v>31</v>
      </c>
      <c r="D86" s="28"/>
      <c r="E86" s="28">
        <v>100</v>
      </c>
      <c r="F86" s="28"/>
      <c r="G86" s="28"/>
      <c r="H86" s="28" t="s">
        <v>32</v>
      </c>
      <c r="I86" s="28">
        <v>450000</v>
      </c>
      <c r="J86" s="28"/>
      <c r="K86" s="28"/>
      <c r="L86" s="28" t="s">
        <v>33</v>
      </c>
      <c r="M86" s="28"/>
      <c r="N86" s="28"/>
      <c r="O86" s="28"/>
      <c r="P86" s="28"/>
      <c r="Q86" s="28"/>
      <c r="R86" s="28"/>
      <c r="S86" s="28"/>
      <c r="T86" s="28"/>
      <c r="U86" s="28" t="s">
        <v>37</v>
      </c>
      <c r="V86" s="28" t="s">
        <v>71</v>
      </c>
      <c r="W86" s="28">
        <v>80</v>
      </c>
      <c r="X86" s="28" t="s">
        <v>72</v>
      </c>
      <c r="Y86" s="28"/>
      <c r="Z86" s="28"/>
      <c r="AA86" s="28"/>
      <c r="AB86" s="28"/>
      <c r="AC86" s="28"/>
      <c r="AD86" s="28"/>
      <c r="AE86" s="28">
        <v>20</v>
      </c>
    </row>
    <row r="87" spans="1:31" ht="14.25" customHeight="1">
      <c r="A87" s="28">
        <v>9</v>
      </c>
      <c r="B87" s="28">
        <v>5</v>
      </c>
      <c r="C87" s="2" t="s">
        <v>31</v>
      </c>
      <c r="D87" s="28"/>
      <c r="E87" s="28">
        <v>100</v>
      </c>
      <c r="F87" s="28"/>
      <c r="G87" s="28"/>
      <c r="H87" s="28" t="s">
        <v>32</v>
      </c>
      <c r="I87" s="28">
        <v>450000</v>
      </c>
      <c r="J87" s="28"/>
      <c r="K87" s="28"/>
      <c r="L87" s="28" t="s">
        <v>33</v>
      </c>
      <c r="M87" s="28"/>
      <c r="N87" s="28"/>
      <c r="O87" s="28"/>
      <c r="P87" s="28"/>
      <c r="Q87" s="28"/>
      <c r="R87" s="28"/>
      <c r="S87" s="28"/>
      <c r="T87" s="28"/>
      <c r="U87" s="28" t="s">
        <v>35</v>
      </c>
      <c r="V87" s="28"/>
      <c r="W87" s="28"/>
      <c r="X87" s="28"/>
      <c r="Y87" s="28"/>
      <c r="Z87" s="28"/>
      <c r="AA87" s="28"/>
      <c r="AB87" s="28"/>
      <c r="AC87" s="28"/>
      <c r="AD87" s="28"/>
      <c r="AE87" s="28">
        <v>100</v>
      </c>
    </row>
    <row r="88" spans="1:31" ht="14.25" customHeight="1">
      <c r="A88" s="28">
        <v>9</v>
      </c>
      <c r="B88" s="28">
        <v>6</v>
      </c>
      <c r="C88" s="2" t="s">
        <v>31</v>
      </c>
      <c r="D88" s="28"/>
      <c r="E88" s="28">
        <v>100</v>
      </c>
      <c r="F88" s="28"/>
      <c r="G88" s="28"/>
      <c r="H88" s="28" t="s">
        <v>32</v>
      </c>
      <c r="I88" s="28">
        <v>450000</v>
      </c>
      <c r="J88" s="28"/>
      <c r="K88" s="28"/>
      <c r="L88" s="28" t="s">
        <v>33</v>
      </c>
      <c r="M88" s="28"/>
      <c r="N88" s="28"/>
      <c r="O88" s="28"/>
      <c r="P88" s="28"/>
      <c r="Q88" s="28"/>
      <c r="R88" s="28"/>
      <c r="S88" s="28"/>
      <c r="T88" s="28"/>
      <c r="U88" s="28" t="s">
        <v>37</v>
      </c>
      <c r="V88" s="28" t="s">
        <v>71</v>
      </c>
      <c r="W88" s="28">
        <v>20</v>
      </c>
      <c r="X88" s="28" t="s">
        <v>72</v>
      </c>
      <c r="Y88" s="28"/>
      <c r="Z88" s="28"/>
      <c r="AA88" s="28"/>
      <c r="AB88" s="28"/>
      <c r="AC88" s="28"/>
      <c r="AD88" s="28"/>
      <c r="AE88" s="28">
        <v>80</v>
      </c>
    </row>
    <row r="89" spans="1:31" ht="14.25" customHeight="1">
      <c r="A89" s="28">
        <v>9</v>
      </c>
      <c r="B89" s="28">
        <v>7</v>
      </c>
      <c r="C89" s="2" t="s">
        <v>31</v>
      </c>
      <c r="D89" s="28"/>
      <c r="E89" s="28">
        <v>100</v>
      </c>
      <c r="F89" s="28"/>
      <c r="G89" s="28"/>
      <c r="H89" s="28" t="s">
        <v>32</v>
      </c>
      <c r="I89" s="28">
        <v>450000</v>
      </c>
      <c r="J89" s="28"/>
      <c r="K89" s="28"/>
      <c r="L89" s="28" t="s">
        <v>33</v>
      </c>
      <c r="M89" s="28"/>
      <c r="N89" s="28"/>
      <c r="O89" s="28"/>
      <c r="P89" s="28"/>
      <c r="Q89" s="28"/>
      <c r="R89" s="28"/>
      <c r="S89" s="28"/>
      <c r="T89" s="28"/>
      <c r="U89" s="28" t="s">
        <v>37</v>
      </c>
      <c r="V89" s="28" t="s">
        <v>71</v>
      </c>
      <c r="W89" s="28">
        <v>50</v>
      </c>
      <c r="X89" s="28" t="s">
        <v>72</v>
      </c>
      <c r="Y89" s="28"/>
      <c r="Z89" s="28"/>
      <c r="AA89" s="28"/>
      <c r="AB89" s="28"/>
      <c r="AC89" s="28"/>
      <c r="AD89" s="28"/>
      <c r="AE89" s="28">
        <v>50</v>
      </c>
    </row>
    <row r="90" spans="1:31" ht="14.25" customHeight="1">
      <c r="A90" s="28">
        <v>9</v>
      </c>
      <c r="B90" s="28">
        <v>8</v>
      </c>
      <c r="C90" s="2" t="s">
        <v>31</v>
      </c>
      <c r="D90" s="28"/>
      <c r="E90" s="28">
        <v>100</v>
      </c>
      <c r="F90" s="28"/>
      <c r="G90" s="28"/>
      <c r="H90" s="28" t="s">
        <v>32</v>
      </c>
      <c r="I90" s="28">
        <v>450000</v>
      </c>
      <c r="J90" s="28"/>
      <c r="K90" s="28"/>
      <c r="L90" s="28" t="s">
        <v>33</v>
      </c>
      <c r="M90" s="28"/>
      <c r="N90" s="28"/>
      <c r="O90" s="28"/>
      <c r="P90" s="28"/>
      <c r="Q90" s="28"/>
      <c r="R90" s="28"/>
      <c r="S90" s="28"/>
      <c r="T90" s="28"/>
      <c r="U90" s="28" t="s">
        <v>37</v>
      </c>
      <c r="V90" s="28" t="s">
        <v>71</v>
      </c>
      <c r="W90" s="28">
        <v>80</v>
      </c>
      <c r="X90" s="28" t="s">
        <v>72</v>
      </c>
      <c r="Y90" s="28"/>
      <c r="Z90" s="28"/>
      <c r="AA90" s="28"/>
      <c r="AB90" s="28"/>
      <c r="AC90" s="28"/>
      <c r="AD90" s="28"/>
      <c r="AE90" s="28">
        <v>20</v>
      </c>
    </row>
    <row r="91" spans="1:31" ht="14.25" customHeight="1">
      <c r="A91" s="30">
        <v>10</v>
      </c>
      <c r="B91" s="30">
        <v>1</v>
      </c>
      <c r="C91" s="4" t="s">
        <v>31</v>
      </c>
      <c r="D91" s="30"/>
      <c r="E91" s="30">
        <v>100</v>
      </c>
      <c r="F91" s="30"/>
      <c r="G91" s="30">
        <v>230000</v>
      </c>
      <c r="H91" s="30" t="s">
        <v>32</v>
      </c>
      <c r="I91" s="30">
        <v>87000</v>
      </c>
      <c r="J91" s="30"/>
      <c r="K91" s="30"/>
      <c r="L91" s="30" t="s">
        <v>73</v>
      </c>
      <c r="M91" s="30"/>
      <c r="N91" s="30"/>
      <c r="O91" s="30"/>
      <c r="P91" s="30"/>
      <c r="Q91" s="30">
        <v>10</v>
      </c>
      <c r="R91" s="30" t="s">
        <v>46</v>
      </c>
      <c r="S91" s="30"/>
      <c r="T91" s="30"/>
      <c r="U91" s="30" t="s">
        <v>37</v>
      </c>
      <c r="V91" s="30" t="s">
        <v>74</v>
      </c>
      <c r="W91" s="30">
        <v>74.5</v>
      </c>
      <c r="X91" s="30" t="s">
        <v>72</v>
      </c>
      <c r="Y91" s="30"/>
      <c r="Z91" s="30"/>
      <c r="AA91" s="30"/>
      <c r="AB91" s="30"/>
      <c r="AC91" s="30"/>
      <c r="AD91" s="30"/>
      <c r="AE91" s="30">
        <v>25.5</v>
      </c>
    </row>
    <row r="92" spans="1:31" ht="14.25" customHeight="1">
      <c r="A92" s="30">
        <v>11</v>
      </c>
      <c r="B92" s="30">
        <v>1</v>
      </c>
      <c r="C92" s="4" t="s">
        <v>31</v>
      </c>
      <c r="D92" s="30"/>
      <c r="E92" s="30">
        <v>100</v>
      </c>
      <c r="F92" s="30"/>
      <c r="G92" s="30">
        <v>230000</v>
      </c>
      <c r="H92" s="30" t="s">
        <v>32</v>
      </c>
      <c r="I92" s="30"/>
      <c r="J92" s="30"/>
      <c r="K92" s="30">
        <v>2.2999999999999998</v>
      </c>
      <c r="L92" s="30" t="s">
        <v>75</v>
      </c>
      <c r="M92" s="30">
        <v>2.8</v>
      </c>
      <c r="N92" s="30" t="s">
        <v>46</v>
      </c>
      <c r="O92" s="30"/>
      <c r="P92" s="30"/>
      <c r="Q92" s="30">
        <v>2</v>
      </c>
      <c r="R92" s="30" t="s">
        <v>34</v>
      </c>
      <c r="S92" s="30"/>
      <c r="T92" s="30"/>
      <c r="U92" s="30" t="s">
        <v>37</v>
      </c>
      <c r="V92" s="30" t="s">
        <v>76</v>
      </c>
      <c r="W92" s="30">
        <v>90</v>
      </c>
      <c r="X92" s="30" t="s">
        <v>77</v>
      </c>
      <c r="Y92" s="30"/>
      <c r="Z92" s="30"/>
      <c r="AA92" s="30"/>
      <c r="AB92" s="30"/>
      <c r="AC92" s="30"/>
      <c r="AD92" s="30"/>
      <c r="AE92" s="30">
        <v>10</v>
      </c>
    </row>
    <row r="93" spans="1:31" ht="14.25" customHeight="1">
      <c r="A93" s="28">
        <v>11</v>
      </c>
      <c r="B93" s="28">
        <v>2</v>
      </c>
      <c r="C93" s="2" t="s">
        <v>31</v>
      </c>
      <c r="D93" s="28"/>
      <c r="E93" s="28">
        <v>100</v>
      </c>
      <c r="F93" s="28"/>
      <c r="G93" s="28">
        <v>230000</v>
      </c>
      <c r="H93" s="28" t="s">
        <v>32</v>
      </c>
      <c r="I93" s="28"/>
      <c r="J93" s="28"/>
      <c r="K93" s="28">
        <v>2.2999999999999998</v>
      </c>
      <c r="L93" s="28" t="s">
        <v>75</v>
      </c>
      <c r="M93" s="28">
        <v>2.7</v>
      </c>
      <c r="N93" s="28" t="s">
        <v>46</v>
      </c>
      <c r="O93" s="28"/>
      <c r="P93" s="28"/>
      <c r="Q93" s="28">
        <v>2</v>
      </c>
      <c r="R93" s="28" t="s">
        <v>34</v>
      </c>
      <c r="S93" s="28"/>
      <c r="T93" s="28"/>
      <c r="U93" s="28" t="s">
        <v>37</v>
      </c>
      <c r="V93" s="28" t="s">
        <v>76</v>
      </c>
      <c r="W93" s="28">
        <v>81</v>
      </c>
      <c r="X93" s="28" t="s">
        <v>77</v>
      </c>
      <c r="Y93" s="28" t="s">
        <v>78</v>
      </c>
      <c r="Z93" s="28">
        <v>10</v>
      </c>
      <c r="AA93" s="28" t="s">
        <v>79</v>
      </c>
      <c r="AB93" s="28"/>
      <c r="AC93" s="28"/>
      <c r="AD93" s="28"/>
      <c r="AE93" s="28">
        <v>9</v>
      </c>
    </row>
    <row r="94" spans="1:31" ht="14.25" customHeight="1">
      <c r="A94" s="28">
        <v>11</v>
      </c>
      <c r="B94" s="28">
        <v>3</v>
      </c>
      <c r="C94" s="2" t="s">
        <v>31</v>
      </c>
      <c r="D94" s="28"/>
      <c r="E94" s="28">
        <v>100</v>
      </c>
      <c r="F94" s="28"/>
      <c r="G94" s="28">
        <v>230000</v>
      </c>
      <c r="H94" s="28" t="s">
        <v>32</v>
      </c>
      <c r="I94" s="28"/>
      <c r="J94" s="28"/>
      <c r="K94" s="28">
        <v>2.2999999999999998</v>
      </c>
      <c r="L94" s="28" t="s">
        <v>75</v>
      </c>
      <c r="M94" s="28">
        <v>2.8</v>
      </c>
      <c r="N94" s="28" t="s">
        <v>46</v>
      </c>
      <c r="O94" s="28"/>
      <c r="P94" s="28"/>
      <c r="Q94" s="28">
        <v>2</v>
      </c>
      <c r="R94" s="28" t="s">
        <v>34</v>
      </c>
      <c r="S94" s="28"/>
      <c r="T94" s="28"/>
      <c r="U94" s="28" t="s">
        <v>37</v>
      </c>
      <c r="V94" s="28" t="s">
        <v>76</v>
      </c>
      <c r="W94" s="28">
        <v>90</v>
      </c>
      <c r="X94" s="28" t="s">
        <v>77</v>
      </c>
      <c r="Y94" s="28"/>
      <c r="Z94" s="28"/>
      <c r="AA94" s="28"/>
      <c r="AB94" s="28"/>
      <c r="AC94" s="28"/>
      <c r="AD94" s="28"/>
      <c r="AE94" s="28">
        <v>10</v>
      </c>
    </row>
    <row r="95" spans="1:31" ht="14.25" customHeight="1">
      <c r="A95" s="28">
        <v>11</v>
      </c>
      <c r="B95" s="28">
        <v>4</v>
      </c>
      <c r="C95" s="2" t="s">
        <v>31</v>
      </c>
      <c r="D95" s="28"/>
      <c r="E95" s="28">
        <v>100</v>
      </c>
      <c r="F95" s="28"/>
      <c r="G95" s="28">
        <v>230000</v>
      </c>
      <c r="H95" s="28" t="s">
        <v>32</v>
      </c>
      <c r="I95" s="28"/>
      <c r="J95" s="28"/>
      <c r="K95" s="28">
        <v>2.2999999999999998</v>
      </c>
      <c r="L95" s="28" t="s">
        <v>75</v>
      </c>
      <c r="M95" s="28">
        <v>2.7</v>
      </c>
      <c r="N95" s="28" t="s">
        <v>46</v>
      </c>
      <c r="O95" s="28"/>
      <c r="P95" s="28"/>
      <c r="Q95" s="28">
        <v>2</v>
      </c>
      <c r="R95" s="28" t="s">
        <v>34</v>
      </c>
      <c r="S95" s="28"/>
      <c r="T95" s="28"/>
      <c r="U95" s="28" t="s">
        <v>37</v>
      </c>
      <c r="V95" s="28" t="s">
        <v>76</v>
      </c>
      <c r="W95" s="28">
        <v>81</v>
      </c>
      <c r="X95" s="28" t="s">
        <v>77</v>
      </c>
      <c r="Y95" s="28" t="s">
        <v>78</v>
      </c>
      <c r="Z95" s="28">
        <v>10</v>
      </c>
      <c r="AA95" s="28" t="s">
        <v>79</v>
      </c>
      <c r="AB95" s="28"/>
      <c r="AC95" s="28"/>
      <c r="AD95" s="28"/>
      <c r="AE95" s="28">
        <v>9</v>
      </c>
    </row>
    <row r="96" spans="1:31" ht="14.25" customHeight="1">
      <c r="A96" s="28">
        <v>11</v>
      </c>
      <c r="B96" s="28">
        <v>5</v>
      </c>
      <c r="C96" s="2" t="s">
        <v>31</v>
      </c>
      <c r="D96" s="28"/>
      <c r="E96" s="28">
        <v>100</v>
      </c>
      <c r="F96" s="28"/>
      <c r="G96" s="28">
        <v>230000</v>
      </c>
      <c r="H96" s="28" t="s">
        <v>32</v>
      </c>
      <c r="I96" s="28"/>
      <c r="J96" s="28"/>
      <c r="K96" s="28">
        <v>2.2999999999999998</v>
      </c>
      <c r="L96" s="28" t="s">
        <v>75</v>
      </c>
      <c r="M96" s="28">
        <v>2.8</v>
      </c>
      <c r="N96" s="28" t="s">
        <v>46</v>
      </c>
      <c r="O96" s="28"/>
      <c r="P96" s="28"/>
      <c r="Q96" s="28">
        <v>2</v>
      </c>
      <c r="R96" s="28" t="s">
        <v>34</v>
      </c>
      <c r="S96" s="28"/>
      <c r="T96" s="28"/>
      <c r="U96" s="28" t="s">
        <v>37</v>
      </c>
      <c r="V96" s="28" t="s">
        <v>76</v>
      </c>
      <c r="W96" s="28">
        <v>90</v>
      </c>
      <c r="X96" s="28" t="s">
        <v>77</v>
      </c>
      <c r="Y96" s="28"/>
      <c r="Z96" s="28"/>
      <c r="AA96" s="28"/>
      <c r="AB96" s="28"/>
      <c r="AC96" s="28"/>
      <c r="AD96" s="28"/>
      <c r="AE96" s="28">
        <v>10</v>
      </c>
    </row>
    <row r="97" spans="1:31" ht="14.25" customHeight="1">
      <c r="A97" s="28">
        <v>11</v>
      </c>
      <c r="B97" s="28">
        <v>6</v>
      </c>
      <c r="C97" s="2" t="s">
        <v>31</v>
      </c>
      <c r="D97" s="28"/>
      <c r="E97" s="28">
        <v>100</v>
      </c>
      <c r="F97" s="28"/>
      <c r="G97" s="28">
        <v>230000</v>
      </c>
      <c r="H97" s="28" t="s">
        <v>32</v>
      </c>
      <c r="I97" s="28"/>
      <c r="J97" s="28"/>
      <c r="K97" s="28">
        <v>2.2999999999999998</v>
      </c>
      <c r="L97" s="28" t="s">
        <v>75</v>
      </c>
      <c r="M97" s="28">
        <v>2.7</v>
      </c>
      <c r="N97" s="28" t="s">
        <v>46</v>
      </c>
      <c r="O97" s="28"/>
      <c r="P97" s="28"/>
      <c r="Q97" s="28">
        <v>2</v>
      </c>
      <c r="R97" s="28" t="s">
        <v>34</v>
      </c>
      <c r="S97" s="28"/>
      <c r="T97" s="28"/>
      <c r="U97" s="28" t="s">
        <v>37</v>
      </c>
      <c r="V97" s="28" t="s">
        <v>76</v>
      </c>
      <c r="W97" s="28">
        <v>81</v>
      </c>
      <c r="X97" s="28" t="s">
        <v>77</v>
      </c>
      <c r="Y97" s="28" t="s">
        <v>78</v>
      </c>
      <c r="Z97" s="28">
        <v>10</v>
      </c>
      <c r="AA97" s="28" t="s">
        <v>79</v>
      </c>
      <c r="AB97" s="28"/>
      <c r="AC97" s="28"/>
      <c r="AD97" s="28"/>
      <c r="AE97" s="28">
        <v>9</v>
      </c>
    </row>
    <row r="98" spans="1:31" ht="14.25" customHeight="1">
      <c r="A98" s="30">
        <v>12</v>
      </c>
      <c r="B98" s="30">
        <v>1</v>
      </c>
      <c r="C98" s="4" t="s">
        <v>31</v>
      </c>
      <c r="D98" s="30"/>
      <c r="E98" s="30">
        <v>100</v>
      </c>
      <c r="F98" s="30"/>
      <c r="G98" s="30"/>
      <c r="H98" s="30"/>
      <c r="I98" s="30"/>
      <c r="J98" s="30"/>
      <c r="K98" s="30"/>
      <c r="L98" s="30" t="s">
        <v>56</v>
      </c>
      <c r="M98" s="30"/>
      <c r="N98" s="30"/>
      <c r="O98" s="30"/>
      <c r="P98" s="30"/>
      <c r="Q98" s="30">
        <v>100</v>
      </c>
      <c r="R98" s="30" t="s">
        <v>57</v>
      </c>
      <c r="S98" s="30"/>
      <c r="T98" s="30"/>
      <c r="U98" s="30" t="s">
        <v>37</v>
      </c>
      <c r="V98" s="30" t="s">
        <v>54</v>
      </c>
      <c r="W98" s="30">
        <v>90.9</v>
      </c>
      <c r="X98" s="30" t="s">
        <v>69</v>
      </c>
      <c r="Y98" s="41"/>
      <c r="Z98" s="30"/>
      <c r="AA98" s="30"/>
      <c r="AB98" s="30"/>
      <c r="AC98" s="30"/>
      <c r="AD98" s="30"/>
      <c r="AE98" s="30">
        <v>9.1</v>
      </c>
    </row>
    <row r="99" spans="1:31" ht="14.25" customHeight="1">
      <c r="A99" s="28">
        <v>12</v>
      </c>
      <c r="B99" s="28">
        <v>2</v>
      </c>
      <c r="C99" s="2" t="s">
        <v>31</v>
      </c>
      <c r="D99" s="28"/>
      <c r="E99" s="28">
        <v>100</v>
      </c>
      <c r="F99" s="28"/>
      <c r="G99" s="28"/>
      <c r="H99" s="28"/>
      <c r="I99" s="28"/>
      <c r="J99" s="28"/>
      <c r="K99" s="28"/>
      <c r="L99" s="28" t="s">
        <v>56</v>
      </c>
      <c r="M99" s="28"/>
      <c r="N99" s="28"/>
      <c r="O99" s="28"/>
      <c r="P99" s="28"/>
      <c r="Q99" s="28">
        <v>165</v>
      </c>
      <c r="R99" s="28" t="s">
        <v>57</v>
      </c>
      <c r="S99" s="28"/>
      <c r="T99" s="28"/>
      <c r="U99" s="28" t="s">
        <v>37</v>
      </c>
      <c r="V99" s="28" t="s">
        <v>54</v>
      </c>
      <c r="W99" s="28">
        <v>87</v>
      </c>
      <c r="X99" s="28" t="s">
        <v>69</v>
      </c>
      <c r="Y99" s="28" t="s">
        <v>80</v>
      </c>
      <c r="Z99" s="28">
        <v>4.3</v>
      </c>
      <c r="AA99" s="28" t="s">
        <v>81</v>
      </c>
      <c r="AB99" s="28"/>
      <c r="AC99" s="28"/>
      <c r="AD99" s="28"/>
      <c r="AE99" s="28">
        <v>8.6999999999999993</v>
      </c>
    </row>
    <row r="100" spans="1:31" ht="14.25" customHeight="1">
      <c r="A100" s="28">
        <v>12</v>
      </c>
      <c r="B100" s="28">
        <v>3</v>
      </c>
      <c r="C100" s="2" t="s">
        <v>31</v>
      </c>
      <c r="D100" s="28"/>
      <c r="E100" s="28">
        <v>100</v>
      </c>
      <c r="F100" s="28"/>
      <c r="G100" s="28"/>
      <c r="H100" s="28"/>
      <c r="I100" s="28"/>
      <c r="J100" s="28"/>
      <c r="K100" s="28"/>
      <c r="L100" s="28" t="s">
        <v>56</v>
      </c>
      <c r="M100" s="28"/>
      <c r="N100" s="28"/>
      <c r="O100" s="28"/>
      <c r="P100" s="28"/>
      <c r="Q100" s="28">
        <v>175</v>
      </c>
      <c r="R100" s="28" t="s">
        <v>57</v>
      </c>
      <c r="S100" s="28"/>
      <c r="T100" s="28"/>
      <c r="U100" s="28" t="s">
        <v>37</v>
      </c>
      <c r="V100" s="28" t="s">
        <v>54</v>
      </c>
      <c r="W100" s="28">
        <v>85.1</v>
      </c>
      <c r="X100" s="28" t="s">
        <v>69</v>
      </c>
      <c r="Y100" s="28" t="s">
        <v>80</v>
      </c>
      <c r="Z100" s="28">
        <v>4.3</v>
      </c>
      <c r="AA100" s="28" t="s">
        <v>81</v>
      </c>
      <c r="AB100" s="28" t="s">
        <v>82</v>
      </c>
      <c r="AC100" s="28">
        <v>2.1</v>
      </c>
      <c r="AD100" s="28" t="s">
        <v>83</v>
      </c>
      <c r="AE100" s="28">
        <v>8.5</v>
      </c>
    </row>
    <row r="101" spans="1:31" ht="14.25" customHeight="1">
      <c r="A101" s="30">
        <v>13</v>
      </c>
      <c r="B101" s="30">
        <v>1</v>
      </c>
      <c r="C101" s="4" t="s">
        <v>31</v>
      </c>
      <c r="D101" s="30" t="s">
        <v>36</v>
      </c>
      <c r="E101" s="30">
        <v>88</v>
      </c>
      <c r="F101" s="30">
        <v>12</v>
      </c>
      <c r="G101" s="30"/>
      <c r="H101" s="30"/>
      <c r="I101" s="30"/>
      <c r="J101" s="30"/>
      <c r="K101" s="30"/>
      <c r="L101" s="30" t="s">
        <v>84</v>
      </c>
      <c r="M101" s="30"/>
      <c r="N101" s="30"/>
      <c r="O101" s="30"/>
      <c r="P101" s="30"/>
      <c r="Q101" s="30"/>
      <c r="R101" s="30"/>
      <c r="S101" s="30"/>
      <c r="T101" s="30"/>
      <c r="U101" s="30" t="s">
        <v>37</v>
      </c>
      <c r="V101" s="30" t="s">
        <v>85</v>
      </c>
      <c r="W101" s="30">
        <v>28</v>
      </c>
      <c r="X101" s="30" t="s">
        <v>77</v>
      </c>
      <c r="Y101" s="30"/>
      <c r="Z101" s="30"/>
      <c r="AA101" s="30"/>
      <c r="AB101" s="30"/>
      <c r="AC101" s="30"/>
      <c r="AD101" s="30"/>
      <c r="AE101" s="30">
        <v>72</v>
      </c>
    </row>
    <row r="102" spans="1:31" ht="14.25" customHeight="1">
      <c r="A102" s="28">
        <v>13</v>
      </c>
      <c r="B102" s="28">
        <v>2</v>
      </c>
      <c r="C102" s="2" t="s">
        <v>31</v>
      </c>
      <c r="D102" s="28" t="s">
        <v>36</v>
      </c>
      <c r="E102" s="28">
        <v>88</v>
      </c>
      <c r="F102" s="28">
        <v>12</v>
      </c>
      <c r="G102" s="28"/>
      <c r="H102" s="28"/>
      <c r="I102" s="28"/>
      <c r="J102" s="28"/>
      <c r="K102" s="28"/>
      <c r="L102" s="28" t="s">
        <v>84</v>
      </c>
      <c r="M102" s="28"/>
      <c r="N102" s="28"/>
      <c r="O102" s="28"/>
      <c r="P102" s="28"/>
      <c r="Q102" s="28"/>
      <c r="R102" s="28"/>
      <c r="S102" s="28"/>
      <c r="T102" s="28"/>
      <c r="U102" s="28" t="s">
        <v>37</v>
      </c>
      <c r="V102" s="28" t="s">
        <v>85</v>
      </c>
      <c r="W102" s="28">
        <v>26.04</v>
      </c>
      <c r="X102" s="28" t="s">
        <v>77</v>
      </c>
      <c r="Y102" s="28" t="s">
        <v>86</v>
      </c>
      <c r="Z102" s="28">
        <v>1.96</v>
      </c>
      <c r="AA102" s="28" t="s">
        <v>79</v>
      </c>
      <c r="AB102" s="28"/>
      <c r="AC102" s="28"/>
      <c r="AD102" s="28"/>
      <c r="AE102" s="28">
        <v>72</v>
      </c>
    </row>
    <row r="103" spans="1:31" ht="14.25" customHeight="1">
      <c r="A103" s="28">
        <v>13</v>
      </c>
      <c r="B103" s="28">
        <v>3</v>
      </c>
      <c r="C103" s="2" t="s">
        <v>31</v>
      </c>
      <c r="D103" s="28" t="s">
        <v>36</v>
      </c>
      <c r="E103" s="28">
        <v>88</v>
      </c>
      <c r="F103" s="28">
        <v>12</v>
      </c>
      <c r="G103" s="28"/>
      <c r="H103" s="28"/>
      <c r="I103" s="28"/>
      <c r="J103" s="28"/>
      <c r="K103" s="28"/>
      <c r="L103" s="28" t="s">
        <v>84</v>
      </c>
      <c r="M103" s="28"/>
      <c r="N103" s="28"/>
      <c r="O103" s="28"/>
      <c r="P103" s="28"/>
      <c r="Q103" s="28"/>
      <c r="R103" s="28"/>
      <c r="S103" s="28"/>
      <c r="T103" s="28"/>
      <c r="U103" s="28" t="s">
        <v>37</v>
      </c>
      <c r="V103" s="28" t="s">
        <v>85</v>
      </c>
      <c r="W103" s="28">
        <v>28</v>
      </c>
      <c r="X103" s="28" t="s">
        <v>77</v>
      </c>
      <c r="Y103" s="28"/>
      <c r="Z103" s="28"/>
      <c r="AA103" s="28"/>
      <c r="AB103" s="28"/>
      <c r="AC103" s="28"/>
      <c r="AD103" s="28"/>
      <c r="AE103" s="28">
        <v>72</v>
      </c>
    </row>
    <row r="104" spans="1:31" ht="14.25" customHeight="1">
      <c r="A104" s="28">
        <v>13</v>
      </c>
      <c r="B104" s="28">
        <v>4</v>
      </c>
      <c r="C104" s="2" t="s">
        <v>31</v>
      </c>
      <c r="D104" s="28" t="s">
        <v>36</v>
      </c>
      <c r="E104" s="28">
        <v>88</v>
      </c>
      <c r="F104" s="28">
        <v>12</v>
      </c>
      <c r="G104" s="28"/>
      <c r="H104" s="28"/>
      <c r="I104" s="28"/>
      <c r="J104" s="28"/>
      <c r="K104" s="28"/>
      <c r="L104" s="28" t="s">
        <v>84</v>
      </c>
      <c r="M104" s="28"/>
      <c r="N104" s="28"/>
      <c r="O104" s="28"/>
      <c r="P104" s="28"/>
      <c r="Q104" s="28"/>
      <c r="R104" s="28"/>
      <c r="S104" s="28"/>
      <c r="T104" s="28"/>
      <c r="U104" s="28" t="s">
        <v>37</v>
      </c>
      <c r="V104" s="28" t="s">
        <v>85</v>
      </c>
      <c r="W104" s="28">
        <v>26.04</v>
      </c>
      <c r="X104" s="28" t="s">
        <v>77</v>
      </c>
      <c r="Y104" s="28" t="s">
        <v>86</v>
      </c>
      <c r="Z104" s="28">
        <v>1.96</v>
      </c>
      <c r="AA104" s="28" t="s">
        <v>79</v>
      </c>
      <c r="AB104" s="28"/>
      <c r="AC104" s="28"/>
      <c r="AD104" s="28"/>
      <c r="AE104" s="28">
        <v>72</v>
      </c>
    </row>
    <row r="105" spans="1:31" ht="14.25" customHeight="1">
      <c r="A105" s="28">
        <v>13</v>
      </c>
      <c r="B105" s="28">
        <v>5</v>
      </c>
      <c r="C105" s="2" t="s">
        <v>31</v>
      </c>
      <c r="D105" s="28" t="s">
        <v>36</v>
      </c>
      <c r="E105" s="28">
        <v>88</v>
      </c>
      <c r="F105" s="28">
        <v>12</v>
      </c>
      <c r="G105" s="28"/>
      <c r="H105" s="28"/>
      <c r="I105" s="28"/>
      <c r="J105" s="28"/>
      <c r="K105" s="28"/>
      <c r="L105" s="28" t="s">
        <v>84</v>
      </c>
      <c r="M105" s="28"/>
      <c r="N105" s="28"/>
      <c r="O105" s="28"/>
      <c r="P105" s="28"/>
      <c r="Q105" s="28"/>
      <c r="R105" s="28"/>
      <c r="S105" s="28"/>
      <c r="T105" s="28"/>
      <c r="U105" s="28" t="s">
        <v>37</v>
      </c>
      <c r="V105" s="28" t="s">
        <v>85</v>
      </c>
      <c r="W105" s="28">
        <v>28</v>
      </c>
      <c r="X105" s="28" t="s">
        <v>77</v>
      </c>
      <c r="Y105" s="28"/>
      <c r="Z105" s="28"/>
      <c r="AA105" s="28"/>
      <c r="AB105" s="28"/>
      <c r="AC105" s="28"/>
      <c r="AD105" s="28"/>
      <c r="AE105" s="28">
        <v>72</v>
      </c>
    </row>
    <row r="106" spans="1:31" ht="14.25" customHeight="1">
      <c r="A106" s="28">
        <v>13</v>
      </c>
      <c r="B106" s="28">
        <v>6</v>
      </c>
      <c r="C106" s="2" t="s">
        <v>31</v>
      </c>
      <c r="D106" s="28" t="s">
        <v>36</v>
      </c>
      <c r="E106" s="28">
        <v>88</v>
      </c>
      <c r="F106" s="28">
        <v>12</v>
      </c>
      <c r="G106" s="28"/>
      <c r="H106" s="28"/>
      <c r="I106" s="28"/>
      <c r="J106" s="28"/>
      <c r="K106" s="28"/>
      <c r="L106" s="28" t="s">
        <v>84</v>
      </c>
      <c r="M106" s="28"/>
      <c r="N106" s="28"/>
      <c r="O106" s="28"/>
      <c r="P106" s="28"/>
      <c r="Q106" s="28"/>
      <c r="R106" s="28"/>
      <c r="S106" s="28"/>
      <c r="T106" s="28"/>
      <c r="U106" s="28" t="s">
        <v>37</v>
      </c>
      <c r="V106" s="28" t="s">
        <v>85</v>
      </c>
      <c r="W106" s="28">
        <v>26.04</v>
      </c>
      <c r="X106" s="28" t="s">
        <v>77</v>
      </c>
      <c r="Y106" s="28" t="s">
        <v>86</v>
      </c>
      <c r="Z106" s="28">
        <v>1.96</v>
      </c>
      <c r="AA106" s="28" t="s">
        <v>79</v>
      </c>
      <c r="AB106" s="28"/>
      <c r="AC106" s="28"/>
      <c r="AD106" s="28"/>
      <c r="AE106" s="28">
        <v>72</v>
      </c>
    </row>
    <row r="107" spans="1:31" ht="14.25" customHeight="1">
      <c r="A107" s="28">
        <v>13</v>
      </c>
      <c r="B107" s="28">
        <v>7</v>
      </c>
      <c r="C107" s="2" t="s">
        <v>31</v>
      </c>
      <c r="D107" s="28" t="s">
        <v>36</v>
      </c>
      <c r="E107" s="28">
        <v>88</v>
      </c>
      <c r="F107" s="28">
        <v>12</v>
      </c>
      <c r="G107" s="28"/>
      <c r="H107" s="28"/>
      <c r="I107" s="28"/>
      <c r="J107" s="28"/>
      <c r="K107" s="28"/>
      <c r="L107" s="28" t="s">
        <v>84</v>
      </c>
      <c r="M107" s="28"/>
      <c r="N107" s="28"/>
      <c r="O107" s="28"/>
      <c r="P107" s="28"/>
      <c r="Q107" s="28"/>
      <c r="R107" s="28"/>
      <c r="S107" s="28"/>
      <c r="T107" s="28"/>
      <c r="U107" s="28" t="s">
        <v>37</v>
      </c>
      <c r="V107" s="28" t="s">
        <v>85</v>
      </c>
      <c r="W107" s="28">
        <v>28</v>
      </c>
      <c r="X107" s="28" t="s">
        <v>77</v>
      </c>
      <c r="Y107" s="28"/>
      <c r="Z107" s="28"/>
      <c r="AA107" s="28"/>
      <c r="AB107" s="28"/>
      <c r="AC107" s="28"/>
      <c r="AD107" s="28"/>
      <c r="AE107" s="28">
        <v>72</v>
      </c>
    </row>
    <row r="108" spans="1:31" ht="14.25" customHeight="1">
      <c r="A108" s="28">
        <v>13</v>
      </c>
      <c r="B108" s="28">
        <v>8</v>
      </c>
      <c r="C108" s="2" t="s">
        <v>31</v>
      </c>
      <c r="D108" s="28" t="s">
        <v>36</v>
      </c>
      <c r="E108" s="28">
        <v>88</v>
      </c>
      <c r="F108" s="28">
        <v>12</v>
      </c>
      <c r="G108" s="28"/>
      <c r="H108" s="28"/>
      <c r="I108" s="28"/>
      <c r="J108" s="28"/>
      <c r="K108" s="28"/>
      <c r="L108" s="28" t="s">
        <v>84</v>
      </c>
      <c r="M108" s="28"/>
      <c r="N108" s="28"/>
      <c r="O108" s="28"/>
      <c r="P108" s="28"/>
      <c r="Q108" s="28"/>
      <c r="R108" s="28"/>
      <c r="S108" s="28"/>
      <c r="T108" s="28"/>
      <c r="U108" s="28" t="s">
        <v>37</v>
      </c>
      <c r="V108" s="28" t="s">
        <v>85</v>
      </c>
      <c r="W108" s="28">
        <v>26.04</v>
      </c>
      <c r="X108" s="28" t="s">
        <v>77</v>
      </c>
      <c r="Y108" s="28" t="s">
        <v>86</v>
      </c>
      <c r="Z108" s="28">
        <v>1.96</v>
      </c>
      <c r="AA108" s="28" t="s">
        <v>79</v>
      </c>
      <c r="AB108" s="28"/>
      <c r="AC108" s="28"/>
      <c r="AD108" s="28"/>
      <c r="AE108" s="28">
        <v>72</v>
      </c>
    </row>
    <row r="109" spans="1:31" ht="14.25" customHeight="1">
      <c r="A109" s="28">
        <v>13</v>
      </c>
      <c r="B109" s="28">
        <v>9</v>
      </c>
      <c r="C109" s="2" t="s">
        <v>31</v>
      </c>
      <c r="D109" s="28" t="s">
        <v>36</v>
      </c>
      <c r="E109" s="28">
        <v>88</v>
      </c>
      <c r="F109" s="28">
        <v>12</v>
      </c>
      <c r="G109" s="28"/>
      <c r="H109" s="28"/>
      <c r="I109" s="28"/>
      <c r="J109" s="28"/>
      <c r="K109" s="28"/>
      <c r="L109" s="28" t="s">
        <v>84</v>
      </c>
      <c r="M109" s="28"/>
      <c r="N109" s="28"/>
      <c r="O109" s="28"/>
      <c r="P109" s="28"/>
      <c r="Q109" s="28"/>
      <c r="R109" s="28"/>
      <c r="S109" s="28"/>
      <c r="T109" s="28"/>
      <c r="U109" s="28" t="s">
        <v>37</v>
      </c>
      <c r="V109" s="28" t="s">
        <v>85</v>
      </c>
      <c r="W109" s="28">
        <v>28</v>
      </c>
      <c r="X109" s="28" t="s">
        <v>77</v>
      </c>
      <c r="Y109" s="28"/>
      <c r="Z109" s="28"/>
      <c r="AA109" s="28"/>
      <c r="AB109" s="28"/>
      <c r="AC109" s="28"/>
      <c r="AD109" s="28"/>
      <c r="AE109" s="28">
        <v>72</v>
      </c>
    </row>
    <row r="110" spans="1:31" ht="14.25" customHeight="1">
      <c r="A110" s="28">
        <v>13</v>
      </c>
      <c r="B110" s="28">
        <v>10</v>
      </c>
      <c r="C110" s="2" t="s">
        <v>31</v>
      </c>
      <c r="D110" s="28" t="s">
        <v>36</v>
      </c>
      <c r="E110" s="28">
        <v>88</v>
      </c>
      <c r="F110" s="28">
        <v>12</v>
      </c>
      <c r="G110" s="28"/>
      <c r="H110" s="28"/>
      <c r="I110" s="28"/>
      <c r="J110" s="28"/>
      <c r="K110" s="28"/>
      <c r="L110" s="28" t="s">
        <v>84</v>
      </c>
      <c r="M110" s="28"/>
      <c r="N110" s="28"/>
      <c r="O110" s="28"/>
      <c r="P110" s="28"/>
      <c r="Q110" s="28"/>
      <c r="R110" s="28"/>
      <c r="S110" s="28"/>
      <c r="T110" s="28"/>
      <c r="U110" s="28" t="s">
        <v>37</v>
      </c>
      <c r="V110" s="28" t="s">
        <v>85</v>
      </c>
      <c r="W110" s="28">
        <v>26.04</v>
      </c>
      <c r="X110" s="28" t="s">
        <v>77</v>
      </c>
      <c r="Y110" s="28" t="s">
        <v>86</v>
      </c>
      <c r="Z110" s="28">
        <v>1.96</v>
      </c>
      <c r="AA110" s="28" t="s">
        <v>79</v>
      </c>
      <c r="AB110" s="28"/>
      <c r="AC110" s="28"/>
      <c r="AD110" s="28"/>
      <c r="AE110" s="28">
        <v>72</v>
      </c>
    </row>
    <row r="111" spans="1:31" ht="14.25" customHeight="1">
      <c r="A111" s="28">
        <v>13</v>
      </c>
      <c r="B111" s="28">
        <v>11</v>
      </c>
      <c r="C111" s="2" t="s">
        <v>31</v>
      </c>
      <c r="D111" s="28" t="s">
        <v>36</v>
      </c>
      <c r="E111" s="28">
        <v>88</v>
      </c>
      <c r="F111" s="28">
        <v>12</v>
      </c>
      <c r="G111" s="28"/>
      <c r="H111" s="28"/>
      <c r="I111" s="28"/>
      <c r="J111" s="28"/>
      <c r="K111" s="28"/>
      <c r="L111" s="28" t="s">
        <v>84</v>
      </c>
      <c r="M111" s="28"/>
      <c r="N111" s="28"/>
      <c r="O111" s="28"/>
      <c r="P111" s="28"/>
      <c r="Q111" s="28"/>
      <c r="R111" s="28"/>
      <c r="S111" s="28"/>
      <c r="T111" s="28"/>
      <c r="U111" s="28" t="s">
        <v>37</v>
      </c>
      <c r="V111" s="28" t="s">
        <v>85</v>
      </c>
      <c r="W111" s="28">
        <v>28</v>
      </c>
      <c r="X111" s="28" t="s">
        <v>77</v>
      </c>
      <c r="Y111" s="28"/>
      <c r="Z111" s="28"/>
      <c r="AA111" s="28"/>
      <c r="AB111" s="28"/>
      <c r="AC111" s="28"/>
      <c r="AD111" s="28"/>
      <c r="AE111" s="28">
        <v>72</v>
      </c>
    </row>
    <row r="112" spans="1:31" ht="14.25" customHeight="1">
      <c r="A112" s="28">
        <v>13</v>
      </c>
      <c r="B112" s="28">
        <v>12</v>
      </c>
      <c r="C112" s="2" t="s">
        <v>31</v>
      </c>
      <c r="D112" s="28" t="s">
        <v>36</v>
      </c>
      <c r="E112" s="28">
        <v>88</v>
      </c>
      <c r="F112" s="28">
        <v>12</v>
      </c>
      <c r="G112" s="28"/>
      <c r="H112" s="28"/>
      <c r="I112" s="28"/>
      <c r="J112" s="28"/>
      <c r="K112" s="28"/>
      <c r="L112" s="28" t="s">
        <v>84</v>
      </c>
      <c r="M112" s="28"/>
      <c r="N112" s="28"/>
      <c r="O112" s="28"/>
      <c r="P112" s="28"/>
      <c r="Q112" s="28"/>
      <c r="R112" s="28"/>
      <c r="S112" s="28"/>
      <c r="T112" s="28"/>
      <c r="U112" s="28" t="s">
        <v>37</v>
      </c>
      <c r="V112" s="28" t="s">
        <v>85</v>
      </c>
      <c r="W112" s="28">
        <v>26.04</v>
      </c>
      <c r="X112" s="28" t="s">
        <v>77</v>
      </c>
      <c r="Y112" s="28" t="s">
        <v>86</v>
      </c>
      <c r="Z112" s="28">
        <v>1.96</v>
      </c>
      <c r="AA112" s="28" t="s">
        <v>79</v>
      </c>
      <c r="AB112" s="28"/>
      <c r="AC112" s="28"/>
      <c r="AD112" s="28"/>
      <c r="AE112" s="28">
        <v>72</v>
      </c>
    </row>
    <row r="113" spans="1:31" ht="14.25" customHeight="1">
      <c r="A113" s="30">
        <v>14</v>
      </c>
      <c r="B113" s="30">
        <v>1</v>
      </c>
      <c r="C113" s="4" t="s">
        <v>31</v>
      </c>
      <c r="D113" s="30" t="s">
        <v>36</v>
      </c>
      <c r="E113" s="30">
        <v>95</v>
      </c>
      <c r="F113" s="30">
        <v>5</v>
      </c>
      <c r="G113" s="30"/>
      <c r="H113" s="30"/>
      <c r="I113" s="30"/>
      <c r="J113" s="30"/>
      <c r="K113" s="30"/>
      <c r="L113" s="30" t="s">
        <v>87</v>
      </c>
      <c r="M113" s="30">
        <v>0.3</v>
      </c>
      <c r="N113" s="30" t="s">
        <v>46</v>
      </c>
      <c r="O113" s="30"/>
      <c r="P113" s="30"/>
      <c r="Q113" s="30"/>
      <c r="R113" s="30"/>
      <c r="S113" s="30"/>
      <c r="T113" s="30"/>
      <c r="U113" s="30" t="s">
        <v>35</v>
      </c>
      <c r="V113" s="30"/>
      <c r="W113" s="30"/>
      <c r="X113" s="30"/>
      <c r="Y113" s="30"/>
      <c r="Z113" s="30"/>
      <c r="AA113" s="30"/>
      <c r="AB113" s="30"/>
      <c r="AC113" s="30"/>
      <c r="AD113" s="30"/>
      <c r="AE113" s="30">
        <v>100</v>
      </c>
    </row>
    <row r="114" spans="1:31" s="31" customFormat="1" ht="15" customHeight="1">
      <c r="A114" s="31">
        <v>15</v>
      </c>
      <c r="B114" s="31">
        <v>1</v>
      </c>
      <c r="C114" s="23" t="s">
        <v>31</v>
      </c>
      <c r="E114" s="31">
        <v>100</v>
      </c>
      <c r="G114" s="31">
        <v>230000</v>
      </c>
      <c r="H114" s="31" t="s">
        <v>32</v>
      </c>
      <c r="I114" s="31">
        <v>87000</v>
      </c>
      <c r="U114" s="31" t="s">
        <v>37</v>
      </c>
      <c r="V114" s="31" t="s">
        <v>88</v>
      </c>
      <c r="W114" s="31">
        <v>66.599999999999994</v>
      </c>
      <c r="X114" s="31" t="s">
        <v>89</v>
      </c>
      <c r="AE114" s="31">
        <v>33.4</v>
      </c>
    </row>
    <row r="115" spans="1:31" ht="15" customHeight="1">
      <c r="A115" s="27">
        <v>15</v>
      </c>
      <c r="B115" s="27">
        <v>2</v>
      </c>
      <c r="C115" s="19" t="s">
        <v>31</v>
      </c>
      <c r="E115" s="27">
        <v>100</v>
      </c>
      <c r="G115" s="27">
        <v>230000</v>
      </c>
      <c r="H115" s="27" t="s">
        <v>32</v>
      </c>
      <c r="I115" s="27">
        <v>87000</v>
      </c>
      <c r="U115" s="27" t="s">
        <v>37</v>
      </c>
      <c r="V115" s="27" t="s">
        <v>88</v>
      </c>
      <c r="W115" s="27">
        <v>66.599999999999994</v>
      </c>
      <c r="X115" s="27" t="s">
        <v>89</v>
      </c>
      <c r="AE115" s="27">
        <v>33.4</v>
      </c>
    </row>
    <row r="116" spans="1:31" ht="15" customHeight="1">
      <c r="A116" s="27">
        <v>15</v>
      </c>
      <c r="B116" s="27">
        <v>3</v>
      </c>
      <c r="C116" s="19" t="s">
        <v>31</v>
      </c>
      <c r="E116" s="27">
        <v>100</v>
      </c>
      <c r="G116" s="27">
        <v>230000</v>
      </c>
      <c r="H116" s="27" t="s">
        <v>32</v>
      </c>
      <c r="I116" s="27">
        <v>87000</v>
      </c>
      <c r="U116" s="27" t="s">
        <v>37</v>
      </c>
      <c r="V116" s="27" t="s">
        <v>88</v>
      </c>
      <c r="W116" s="27">
        <v>66.599999999999994</v>
      </c>
      <c r="X116" s="27" t="s">
        <v>89</v>
      </c>
      <c r="AE116" s="27">
        <v>33.4</v>
      </c>
    </row>
    <row r="117" spans="1:31" ht="15" customHeight="1">
      <c r="A117" s="27">
        <v>15</v>
      </c>
      <c r="B117" s="27">
        <v>4</v>
      </c>
      <c r="C117" s="19" t="s">
        <v>31</v>
      </c>
      <c r="E117" s="27">
        <v>100</v>
      </c>
      <c r="G117" s="27">
        <v>230000</v>
      </c>
      <c r="H117" s="27" t="s">
        <v>32</v>
      </c>
      <c r="I117" s="27">
        <v>87000</v>
      </c>
      <c r="U117" s="27" t="s">
        <v>37</v>
      </c>
      <c r="V117" s="27" t="s">
        <v>88</v>
      </c>
      <c r="W117" s="27">
        <v>66.599999999999994</v>
      </c>
      <c r="X117" s="27" t="s">
        <v>89</v>
      </c>
      <c r="AE117" s="27">
        <v>33.4</v>
      </c>
    </row>
    <row r="118" spans="1:31" ht="15" customHeight="1">
      <c r="A118" s="27">
        <v>15</v>
      </c>
      <c r="B118" s="27">
        <v>5</v>
      </c>
      <c r="C118" s="19" t="s">
        <v>31</v>
      </c>
      <c r="E118" s="27">
        <v>100</v>
      </c>
      <c r="G118" s="27">
        <v>230000</v>
      </c>
      <c r="H118" s="27" t="s">
        <v>32</v>
      </c>
      <c r="I118" s="27">
        <v>87000</v>
      </c>
      <c r="U118" s="27" t="s">
        <v>37</v>
      </c>
      <c r="V118" s="27" t="s">
        <v>88</v>
      </c>
      <c r="W118" s="27">
        <v>66.599999999999994</v>
      </c>
      <c r="X118" s="27" t="s">
        <v>89</v>
      </c>
      <c r="AE118" s="27">
        <v>33.4</v>
      </c>
    </row>
    <row r="119" spans="1:31" ht="15" customHeight="1">
      <c r="A119" s="27">
        <v>15</v>
      </c>
      <c r="B119" s="27">
        <v>6</v>
      </c>
      <c r="C119" s="19" t="s">
        <v>31</v>
      </c>
      <c r="E119" s="27">
        <v>100</v>
      </c>
      <c r="G119" s="27">
        <v>230000</v>
      </c>
      <c r="H119" s="27" t="s">
        <v>32</v>
      </c>
      <c r="I119" s="27">
        <v>87000</v>
      </c>
      <c r="U119" s="27" t="s">
        <v>37</v>
      </c>
      <c r="V119" s="27" t="s">
        <v>88</v>
      </c>
      <c r="W119" s="27">
        <v>66.599999999999994</v>
      </c>
      <c r="X119" s="27" t="s">
        <v>89</v>
      </c>
      <c r="AE119" s="27">
        <v>33.4</v>
      </c>
    </row>
    <row r="120" spans="1:31" ht="15" customHeight="1">
      <c r="A120" s="27">
        <v>15</v>
      </c>
      <c r="B120" s="27">
        <v>7</v>
      </c>
      <c r="C120" s="19" t="s">
        <v>31</v>
      </c>
      <c r="E120" s="27">
        <v>100</v>
      </c>
      <c r="G120" s="27">
        <v>230000</v>
      </c>
      <c r="H120" s="27" t="s">
        <v>32</v>
      </c>
      <c r="I120" s="27">
        <v>87000</v>
      </c>
      <c r="U120" s="27" t="s">
        <v>37</v>
      </c>
      <c r="V120" s="27" t="s">
        <v>88</v>
      </c>
      <c r="W120" s="27">
        <v>91.2</v>
      </c>
      <c r="X120" s="27" t="s">
        <v>89</v>
      </c>
      <c r="AE120" s="27">
        <v>8.8000000000000007</v>
      </c>
    </row>
    <row r="121" spans="1:31" ht="15" customHeight="1">
      <c r="A121" s="27">
        <v>15</v>
      </c>
      <c r="B121" s="27">
        <v>8</v>
      </c>
      <c r="C121" s="19" t="s">
        <v>31</v>
      </c>
      <c r="E121" s="27">
        <v>100</v>
      </c>
      <c r="G121" s="27">
        <v>230000</v>
      </c>
      <c r="H121" s="27" t="s">
        <v>32</v>
      </c>
      <c r="I121" s="27">
        <v>87000</v>
      </c>
      <c r="U121" s="27" t="s">
        <v>37</v>
      </c>
      <c r="V121" s="27" t="s">
        <v>88</v>
      </c>
      <c r="W121" s="27">
        <v>91.2</v>
      </c>
      <c r="X121" s="27" t="s">
        <v>89</v>
      </c>
      <c r="AE121" s="27">
        <v>8.8000000000000007</v>
      </c>
    </row>
    <row r="122" spans="1:31" ht="15" customHeight="1">
      <c r="A122" s="27">
        <v>15</v>
      </c>
      <c r="B122" s="27">
        <v>9</v>
      </c>
      <c r="C122" s="19" t="s">
        <v>31</v>
      </c>
      <c r="E122" s="27">
        <v>100</v>
      </c>
      <c r="G122" s="27">
        <v>230000</v>
      </c>
      <c r="H122" s="27" t="s">
        <v>32</v>
      </c>
      <c r="I122" s="27">
        <v>87000</v>
      </c>
      <c r="U122" s="27" t="s">
        <v>37</v>
      </c>
      <c r="V122" s="27" t="s">
        <v>88</v>
      </c>
      <c r="W122" s="27">
        <v>91.2</v>
      </c>
      <c r="X122" s="27" t="s">
        <v>89</v>
      </c>
      <c r="AE122" s="27">
        <v>8.8000000000000007</v>
      </c>
    </row>
    <row r="123" spans="1:31" ht="15" customHeight="1">
      <c r="A123" s="27">
        <v>15</v>
      </c>
      <c r="B123" s="27">
        <v>10</v>
      </c>
      <c r="C123" s="19" t="s">
        <v>31</v>
      </c>
      <c r="E123" s="27">
        <v>100</v>
      </c>
      <c r="G123" s="27">
        <v>230000</v>
      </c>
      <c r="H123" s="27" t="s">
        <v>32</v>
      </c>
      <c r="I123" s="27">
        <v>87000</v>
      </c>
      <c r="U123" s="27" t="s">
        <v>37</v>
      </c>
      <c r="V123" s="27" t="s">
        <v>88</v>
      </c>
      <c r="W123" s="27">
        <v>91.2</v>
      </c>
      <c r="X123" s="27" t="s">
        <v>89</v>
      </c>
      <c r="AE123" s="27">
        <v>8.8000000000000007</v>
      </c>
    </row>
    <row r="124" spans="1:31" ht="15" customHeight="1">
      <c r="A124" s="27">
        <v>15</v>
      </c>
      <c r="B124" s="27">
        <v>11</v>
      </c>
      <c r="C124" s="19" t="s">
        <v>31</v>
      </c>
      <c r="E124" s="27">
        <v>100</v>
      </c>
      <c r="G124" s="27">
        <v>230000</v>
      </c>
      <c r="H124" s="27" t="s">
        <v>32</v>
      </c>
      <c r="I124" s="27">
        <v>87000</v>
      </c>
      <c r="U124" s="27" t="s">
        <v>37</v>
      </c>
      <c r="V124" s="27" t="s">
        <v>88</v>
      </c>
      <c r="W124" s="27">
        <v>91.2</v>
      </c>
      <c r="X124" s="27" t="s">
        <v>89</v>
      </c>
      <c r="AE124" s="27">
        <v>8.8000000000000007</v>
      </c>
    </row>
    <row r="125" spans="1:31" ht="15" customHeight="1">
      <c r="A125" s="27">
        <v>15</v>
      </c>
      <c r="B125" s="27">
        <v>12</v>
      </c>
      <c r="C125" s="19" t="s">
        <v>31</v>
      </c>
      <c r="E125" s="27">
        <v>100</v>
      </c>
      <c r="G125" s="27">
        <v>230000</v>
      </c>
      <c r="H125" s="27" t="s">
        <v>32</v>
      </c>
      <c r="I125" s="27">
        <v>87000</v>
      </c>
      <c r="U125" s="27" t="s">
        <v>37</v>
      </c>
      <c r="V125" s="27" t="s">
        <v>88</v>
      </c>
      <c r="W125" s="27">
        <v>91.2</v>
      </c>
      <c r="X125" s="27" t="s">
        <v>89</v>
      </c>
      <c r="AE125" s="27">
        <v>8.8000000000000007</v>
      </c>
    </row>
    <row r="126" spans="1:31" s="31" customFormat="1" ht="15" customHeight="1">
      <c r="A126" s="31">
        <v>16</v>
      </c>
      <c r="B126" s="31">
        <v>1</v>
      </c>
      <c r="C126" s="37" t="s">
        <v>31</v>
      </c>
      <c r="E126" s="31">
        <v>100</v>
      </c>
      <c r="L126" s="39" t="s">
        <v>56</v>
      </c>
      <c r="U126" s="39" t="s">
        <v>37</v>
      </c>
      <c r="V126" s="39" t="s">
        <v>90</v>
      </c>
      <c r="W126" s="31">
        <v>70</v>
      </c>
      <c r="X126" s="31" t="s">
        <v>91</v>
      </c>
      <c r="Y126" s="39" t="s">
        <v>92</v>
      </c>
      <c r="Z126" s="31">
        <v>20</v>
      </c>
      <c r="AA126" s="31" t="s">
        <v>69</v>
      </c>
      <c r="AE126" s="31">
        <v>10</v>
      </c>
    </row>
    <row r="127" spans="1:31" ht="15" customHeight="1">
      <c r="A127" s="27">
        <v>16</v>
      </c>
      <c r="B127" s="27">
        <v>2</v>
      </c>
      <c r="C127" s="38" t="s">
        <v>31</v>
      </c>
      <c r="E127" s="27">
        <v>100</v>
      </c>
      <c r="L127" s="40" t="s">
        <v>56</v>
      </c>
      <c r="U127" s="40" t="s">
        <v>37</v>
      </c>
      <c r="V127" s="40" t="s">
        <v>90</v>
      </c>
      <c r="W127" s="27">
        <v>70</v>
      </c>
      <c r="X127" s="27" t="s">
        <v>91</v>
      </c>
      <c r="Y127" s="40" t="s">
        <v>92</v>
      </c>
      <c r="Z127" s="27">
        <v>20</v>
      </c>
      <c r="AA127" s="27" t="s">
        <v>69</v>
      </c>
      <c r="AE127" s="27">
        <v>10</v>
      </c>
    </row>
    <row r="128" spans="1:31" ht="15" customHeight="1">
      <c r="A128" s="27">
        <v>16</v>
      </c>
      <c r="B128" s="27">
        <v>3</v>
      </c>
      <c r="C128" s="38" t="s">
        <v>31</v>
      </c>
      <c r="E128" s="27">
        <v>100</v>
      </c>
      <c r="L128" s="40" t="s">
        <v>56</v>
      </c>
      <c r="U128" s="40" t="s">
        <v>37</v>
      </c>
      <c r="V128" s="40" t="s">
        <v>90</v>
      </c>
      <c r="W128" s="27">
        <v>70</v>
      </c>
      <c r="X128" s="27" t="s">
        <v>91</v>
      </c>
      <c r="Y128" s="40" t="s">
        <v>92</v>
      </c>
      <c r="Z128" s="27">
        <v>20</v>
      </c>
      <c r="AA128" s="27" t="s">
        <v>69</v>
      </c>
      <c r="AE128" s="27">
        <v>10</v>
      </c>
    </row>
    <row r="129" spans="1:31" ht="15" customHeight="1">
      <c r="A129" s="27">
        <v>16</v>
      </c>
      <c r="B129" s="27">
        <v>4</v>
      </c>
      <c r="C129" s="38" t="s">
        <v>31</v>
      </c>
      <c r="E129" s="27">
        <v>100</v>
      </c>
      <c r="L129" s="40" t="s">
        <v>56</v>
      </c>
      <c r="U129" s="40" t="s">
        <v>37</v>
      </c>
      <c r="V129" s="40" t="s">
        <v>90</v>
      </c>
      <c r="W129" s="27">
        <v>70</v>
      </c>
      <c r="X129" s="27" t="s">
        <v>91</v>
      </c>
      <c r="Y129" s="40" t="s">
        <v>92</v>
      </c>
      <c r="Z129" s="27">
        <v>20</v>
      </c>
      <c r="AA129" s="27" t="s">
        <v>69</v>
      </c>
      <c r="AE129" s="27">
        <v>10</v>
      </c>
    </row>
    <row r="130" spans="1:31" ht="15" customHeight="1">
      <c r="A130" s="27">
        <v>16</v>
      </c>
      <c r="B130" s="27">
        <v>5</v>
      </c>
      <c r="C130" s="38" t="s">
        <v>31</v>
      </c>
      <c r="E130" s="27">
        <v>100</v>
      </c>
      <c r="L130" s="40" t="s">
        <v>56</v>
      </c>
      <c r="U130" s="40" t="s">
        <v>37</v>
      </c>
      <c r="V130" s="40" t="s">
        <v>90</v>
      </c>
      <c r="W130" s="27">
        <v>70</v>
      </c>
      <c r="X130" s="27" t="s">
        <v>91</v>
      </c>
      <c r="Y130" s="40" t="s">
        <v>92</v>
      </c>
      <c r="Z130" s="27">
        <v>20</v>
      </c>
      <c r="AA130" s="27" t="s">
        <v>69</v>
      </c>
      <c r="AE130" s="27">
        <v>10</v>
      </c>
    </row>
    <row r="131" spans="1:31" ht="15" customHeight="1">
      <c r="A131" s="27">
        <v>16</v>
      </c>
      <c r="B131" s="27">
        <v>6</v>
      </c>
      <c r="C131" s="38" t="s">
        <v>31</v>
      </c>
      <c r="E131" s="27">
        <v>100</v>
      </c>
      <c r="L131" s="40" t="s">
        <v>56</v>
      </c>
      <c r="U131" s="40" t="s">
        <v>37</v>
      </c>
      <c r="V131" s="40" t="s">
        <v>90</v>
      </c>
      <c r="W131" s="27">
        <v>70</v>
      </c>
      <c r="X131" s="27" t="s">
        <v>91</v>
      </c>
      <c r="Y131" s="40" t="s">
        <v>92</v>
      </c>
      <c r="Z131" s="27">
        <v>20</v>
      </c>
      <c r="AA131" s="27" t="s">
        <v>69</v>
      </c>
      <c r="AE131" s="27">
        <v>10</v>
      </c>
    </row>
    <row r="132" spans="1:31" ht="15" customHeight="1">
      <c r="A132" s="27">
        <v>16</v>
      </c>
      <c r="B132" s="27">
        <v>7</v>
      </c>
      <c r="C132" s="38" t="s">
        <v>31</v>
      </c>
      <c r="E132" s="27">
        <v>100</v>
      </c>
      <c r="L132" s="40" t="s">
        <v>56</v>
      </c>
      <c r="U132" s="40" t="s">
        <v>37</v>
      </c>
      <c r="V132" s="40" t="s">
        <v>90</v>
      </c>
      <c r="W132" s="27">
        <v>70</v>
      </c>
      <c r="X132" s="27" t="s">
        <v>91</v>
      </c>
      <c r="Y132" s="40" t="s">
        <v>92</v>
      </c>
      <c r="Z132" s="27">
        <v>20</v>
      </c>
      <c r="AA132" s="27" t="s">
        <v>69</v>
      </c>
      <c r="AE132" s="27">
        <v>10</v>
      </c>
    </row>
    <row r="133" spans="1:31" ht="15" customHeight="1">
      <c r="A133" s="27">
        <v>16</v>
      </c>
      <c r="B133" s="27">
        <v>8</v>
      </c>
      <c r="C133" s="38" t="s">
        <v>31</v>
      </c>
      <c r="E133" s="27">
        <v>100</v>
      </c>
      <c r="L133" s="40" t="s">
        <v>56</v>
      </c>
      <c r="U133" s="40" t="s">
        <v>37</v>
      </c>
      <c r="V133" s="40" t="s">
        <v>90</v>
      </c>
      <c r="W133" s="27">
        <v>70</v>
      </c>
      <c r="X133" s="27" t="s">
        <v>91</v>
      </c>
      <c r="Y133" s="40" t="s">
        <v>92</v>
      </c>
      <c r="Z133" s="27">
        <v>20</v>
      </c>
      <c r="AA133" s="27" t="s">
        <v>69</v>
      </c>
      <c r="AE133" s="27">
        <v>10</v>
      </c>
    </row>
    <row r="134" spans="1:31" ht="15" customHeight="1">
      <c r="A134" s="27">
        <v>16</v>
      </c>
      <c r="B134" s="27">
        <v>9</v>
      </c>
      <c r="C134" s="38" t="s">
        <v>31</v>
      </c>
      <c r="E134" s="27">
        <v>100</v>
      </c>
      <c r="L134" s="40" t="s">
        <v>56</v>
      </c>
      <c r="U134" s="40" t="s">
        <v>37</v>
      </c>
      <c r="V134" s="40" t="s">
        <v>90</v>
      </c>
      <c r="W134" s="27">
        <v>70</v>
      </c>
      <c r="X134" s="27" t="s">
        <v>91</v>
      </c>
      <c r="Y134" s="40" t="s">
        <v>92</v>
      </c>
      <c r="Z134" s="27">
        <v>20</v>
      </c>
      <c r="AA134" s="27" t="s">
        <v>69</v>
      </c>
      <c r="AE134" s="27">
        <v>10</v>
      </c>
    </row>
    <row r="135" spans="1:31" ht="15" customHeight="1">
      <c r="A135" s="27">
        <v>16</v>
      </c>
      <c r="B135" s="27">
        <v>10</v>
      </c>
      <c r="C135" s="38" t="s">
        <v>31</v>
      </c>
      <c r="E135" s="27">
        <v>100</v>
      </c>
      <c r="L135" s="40" t="s">
        <v>56</v>
      </c>
      <c r="U135" s="40" t="s">
        <v>37</v>
      </c>
      <c r="V135" s="40" t="s">
        <v>90</v>
      </c>
      <c r="W135" s="27">
        <v>70</v>
      </c>
      <c r="X135" s="27" t="s">
        <v>91</v>
      </c>
      <c r="Y135" s="40" t="s">
        <v>92</v>
      </c>
      <c r="Z135" s="27">
        <v>20</v>
      </c>
      <c r="AA135" s="27" t="s">
        <v>69</v>
      </c>
      <c r="AE135" s="27">
        <v>10</v>
      </c>
    </row>
    <row r="136" spans="1:31" ht="15" customHeight="1">
      <c r="A136" s="27">
        <v>16</v>
      </c>
      <c r="B136" s="27">
        <v>11</v>
      </c>
      <c r="C136" s="38" t="s">
        <v>31</v>
      </c>
      <c r="E136" s="27">
        <v>100</v>
      </c>
      <c r="L136" s="40" t="s">
        <v>56</v>
      </c>
      <c r="U136" s="40" t="s">
        <v>37</v>
      </c>
      <c r="V136" s="40" t="s">
        <v>90</v>
      </c>
      <c r="W136" s="27">
        <v>70</v>
      </c>
      <c r="X136" s="27" t="s">
        <v>91</v>
      </c>
      <c r="Y136" s="40" t="s">
        <v>92</v>
      </c>
      <c r="Z136" s="27">
        <v>20</v>
      </c>
      <c r="AA136" s="27" t="s">
        <v>69</v>
      </c>
      <c r="AE136" s="27">
        <v>10</v>
      </c>
    </row>
    <row r="137" spans="1:31" ht="15" customHeight="1">
      <c r="A137" s="27">
        <v>16</v>
      </c>
      <c r="B137" s="27">
        <v>12</v>
      </c>
      <c r="C137" s="38" t="s">
        <v>31</v>
      </c>
      <c r="E137" s="27">
        <v>100</v>
      </c>
      <c r="L137" s="40" t="s">
        <v>56</v>
      </c>
      <c r="U137" s="40" t="s">
        <v>37</v>
      </c>
      <c r="V137" s="40" t="s">
        <v>90</v>
      </c>
      <c r="W137" s="27">
        <v>70</v>
      </c>
      <c r="X137" s="27" t="s">
        <v>91</v>
      </c>
      <c r="Y137" s="40" t="s">
        <v>92</v>
      </c>
      <c r="Z137" s="27">
        <v>20</v>
      </c>
      <c r="AA137" s="27" t="s">
        <v>69</v>
      </c>
      <c r="AE137" s="27">
        <v>10</v>
      </c>
    </row>
    <row r="138" spans="1:31" ht="15" customHeight="1">
      <c r="A138" s="27">
        <v>16</v>
      </c>
      <c r="B138" s="27">
        <v>13</v>
      </c>
      <c r="C138" s="38" t="s">
        <v>31</v>
      </c>
      <c r="E138" s="27">
        <v>100</v>
      </c>
      <c r="L138" s="40" t="s">
        <v>56</v>
      </c>
      <c r="U138" s="40" t="s">
        <v>37</v>
      </c>
      <c r="V138" s="40" t="s">
        <v>90</v>
      </c>
      <c r="W138" s="27">
        <v>70</v>
      </c>
      <c r="X138" s="27" t="s">
        <v>91</v>
      </c>
      <c r="Y138" s="40" t="s">
        <v>92</v>
      </c>
      <c r="Z138" s="27">
        <v>20</v>
      </c>
      <c r="AA138" s="27" t="s">
        <v>69</v>
      </c>
      <c r="AE138" s="27">
        <v>10</v>
      </c>
    </row>
    <row r="139" spans="1:31" ht="15" customHeight="1">
      <c r="A139" s="27">
        <v>16</v>
      </c>
      <c r="B139" s="27">
        <v>14</v>
      </c>
      <c r="C139" s="38" t="s">
        <v>31</v>
      </c>
      <c r="E139" s="27">
        <v>100</v>
      </c>
      <c r="L139" s="40" t="s">
        <v>56</v>
      </c>
      <c r="U139" s="40" t="s">
        <v>37</v>
      </c>
      <c r="V139" s="40" t="s">
        <v>90</v>
      </c>
      <c r="W139" s="27">
        <v>70</v>
      </c>
      <c r="X139" s="27" t="s">
        <v>91</v>
      </c>
      <c r="Y139" s="40" t="s">
        <v>92</v>
      </c>
      <c r="Z139" s="27">
        <v>20</v>
      </c>
      <c r="AA139" s="27" t="s">
        <v>69</v>
      </c>
      <c r="AE139" s="27">
        <v>10</v>
      </c>
    </row>
    <row r="140" spans="1:31" s="31" customFormat="1" ht="15" customHeight="1">
      <c r="A140" s="31">
        <v>17</v>
      </c>
      <c r="B140" s="31">
        <v>1</v>
      </c>
      <c r="C140" s="23" t="s">
        <v>31</v>
      </c>
      <c r="D140" s="31" t="s">
        <v>36</v>
      </c>
      <c r="E140" s="31">
        <v>90.8</v>
      </c>
      <c r="F140" s="31">
        <v>9.1999999999999993</v>
      </c>
      <c r="G140" s="31">
        <v>273000</v>
      </c>
      <c r="L140" s="31" t="s">
        <v>67</v>
      </c>
      <c r="U140" s="31" t="s">
        <v>37</v>
      </c>
      <c r="V140" s="31" t="s">
        <v>47</v>
      </c>
      <c r="W140" s="31">
        <v>10</v>
      </c>
      <c r="X140" s="31" t="s">
        <v>93</v>
      </c>
      <c r="AE140" s="31">
        <v>90</v>
      </c>
    </row>
    <row r="141" spans="1:31" ht="15" customHeight="1">
      <c r="A141" s="27">
        <v>17</v>
      </c>
      <c r="B141" s="27">
        <v>2</v>
      </c>
      <c r="C141" s="19" t="s">
        <v>31</v>
      </c>
      <c r="D141" s="27" t="s">
        <v>36</v>
      </c>
      <c r="E141" s="27">
        <v>90.8</v>
      </c>
      <c r="F141" s="27">
        <v>9.1999999999999993</v>
      </c>
      <c r="G141" s="27">
        <v>23000</v>
      </c>
      <c r="L141" s="27" t="s">
        <v>67</v>
      </c>
      <c r="U141" s="27" t="s">
        <v>37</v>
      </c>
      <c r="V141" s="27" t="s">
        <v>47</v>
      </c>
      <c r="W141" s="27">
        <v>20</v>
      </c>
      <c r="X141" s="27" t="s">
        <v>93</v>
      </c>
      <c r="AE141" s="27">
        <v>80</v>
      </c>
    </row>
    <row r="142" spans="1:31" ht="15" customHeight="1">
      <c r="A142" s="27">
        <v>17</v>
      </c>
      <c r="B142" s="27">
        <v>3</v>
      </c>
      <c r="C142" s="19" t="s">
        <v>31</v>
      </c>
      <c r="D142" s="27" t="s">
        <v>36</v>
      </c>
      <c r="E142" s="27">
        <v>90.8</v>
      </c>
      <c r="F142" s="27">
        <v>9.1999999999999993</v>
      </c>
      <c r="G142" s="27">
        <v>23000</v>
      </c>
      <c r="L142" s="27" t="s">
        <v>67</v>
      </c>
      <c r="U142" s="27" t="s">
        <v>37</v>
      </c>
      <c r="V142" s="27" t="s">
        <v>47</v>
      </c>
      <c r="W142" s="27">
        <v>10</v>
      </c>
      <c r="X142" s="27" t="s">
        <v>93</v>
      </c>
      <c r="AE142" s="27">
        <v>90</v>
      </c>
    </row>
    <row r="143" spans="1:31" ht="15" customHeight="1">
      <c r="A143" s="27">
        <v>17</v>
      </c>
      <c r="B143" s="27">
        <v>4</v>
      </c>
      <c r="C143" s="19" t="s">
        <v>31</v>
      </c>
      <c r="D143" s="27" t="s">
        <v>36</v>
      </c>
      <c r="E143" s="27">
        <v>90.8</v>
      </c>
      <c r="F143" s="27">
        <v>9.1999999999999993</v>
      </c>
      <c r="G143" s="27">
        <v>273000</v>
      </c>
      <c r="L143" s="27" t="s">
        <v>67</v>
      </c>
      <c r="U143" s="27" t="s">
        <v>37</v>
      </c>
      <c r="V143" s="27" t="s">
        <v>47</v>
      </c>
      <c r="W143" s="27">
        <v>10</v>
      </c>
      <c r="X143" s="27" t="s">
        <v>93</v>
      </c>
      <c r="AE143" s="27">
        <v>90</v>
      </c>
    </row>
    <row r="144" spans="1:31" ht="15" customHeight="1">
      <c r="A144" s="27">
        <v>17</v>
      </c>
      <c r="B144" s="27">
        <v>5</v>
      </c>
      <c r="C144" s="19" t="s">
        <v>31</v>
      </c>
      <c r="D144" s="27" t="s">
        <v>36</v>
      </c>
      <c r="E144" s="27">
        <v>90.8</v>
      </c>
      <c r="F144" s="27">
        <v>9.1999999999999993</v>
      </c>
      <c r="G144" s="27">
        <v>23000</v>
      </c>
      <c r="L144" s="27" t="s">
        <v>67</v>
      </c>
      <c r="U144" s="27" t="s">
        <v>37</v>
      </c>
      <c r="V144" s="27" t="s">
        <v>47</v>
      </c>
      <c r="W144" s="27">
        <v>20</v>
      </c>
      <c r="X144" s="27" t="s">
        <v>93</v>
      </c>
      <c r="AE144" s="27">
        <v>80</v>
      </c>
    </row>
    <row r="145" spans="1:31" ht="15" customHeight="1">
      <c r="A145" s="27">
        <v>17</v>
      </c>
      <c r="B145" s="27">
        <v>6</v>
      </c>
      <c r="C145" s="19" t="s">
        <v>31</v>
      </c>
      <c r="D145" s="27" t="s">
        <v>36</v>
      </c>
      <c r="E145" s="27">
        <v>90.8</v>
      </c>
      <c r="F145" s="27">
        <v>9.1999999999999993</v>
      </c>
      <c r="G145" s="27">
        <v>23000</v>
      </c>
      <c r="L145" s="27" t="s">
        <v>67</v>
      </c>
      <c r="U145" s="27" t="s">
        <v>37</v>
      </c>
      <c r="V145" s="27" t="s">
        <v>47</v>
      </c>
      <c r="W145" s="27">
        <v>10</v>
      </c>
      <c r="X145" s="27" t="s">
        <v>93</v>
      </c>
      <c r="AE145" s="27">
        <v>90</v>
      </c>
    </row>
    <row r="146" spans="1:31" ht="15" customHeight="1">
      <c r="A146" s="27">
        <v>17</v>
      </c>
      <c r="B146" s="27">
        <v>7</v>
      </c>
      <c r="C146" s="19" t="s">
        <v>31</v>
      </c>
      <c r="D146" s="27" t="s">
        <v>36</v>
      </c>
      <c r="E146" s="27">
        <v>90.8</v>
      </c>
      <c r="F146" s="27">
        <v>9.1999999999999993</v>
      </c>
      <c r="G146" s="27">
        <v>273000</v>
      </c>
      <c r="L146" s="27" t="s">
        <v>67</v>
      </c>
      <c r="U146" s="27" t="s">
        <v>37</v>
      </c>
      <c r="V146" s="27" t="s">
        <v>47</v>
      </c>
      <c r="W146" s="27">
        <v>10</v>
      </c>
      <c r="X146" s="27" t="s">
        <v>93</v>
      </c>
      <c r="AE146" s="27">
        <v>90</v>
      </c>
    </row>
    <row r="147" spans="1:31" ht="15" customHeight="1">
      <c r="A147" s="27">
        <v>17</v>
      </c>
      <c r="B147" s="27">
        <v>8</v>
      </c>
      <c r="C147" s="19" t="s">
        <v>31</v>
      </c>
      <c r="D147" s="27" t="s">
        <v>36</v>
      </c>
      <c r="E147" s="27">
        <v>90.8</v>
      </c>
      <c r="F147" s="27">
        <v>9.1999999999999993</v>
      </c>
      <c r="G147" s="27">
        <v>23000</v>
      </c>
      <c r="L147" s="27" t="s">
        <v>67</v>
      </c>
      <c r="U147" s="27" t="s">
        <v>37</v>
      </c>
      <c r="V147" s="27" t="s">
        <v>47</v>
      </c>
      <c r="W147" s="27">
        <v>20</v>
      </c>
      <c r="X147" s="27" t="s">
        <v>93</v>
      </c>
      <c r="AE147" s="27">
        <v>80</v>
      </c>
    </row>
    <row r="148" spans="1:31" ht="15" customHeight="1">
      <c r="A148" s="27">
        <v>17</v>
      </c>
      <c r="B148" s="27">
        <v>9</v>
      </c>
      <c r="C148" s="19" t="s">
        <v>31</v>
      </c>
      <c r="D148" s="27" t="s">
        <v>36</v>
      </c>
      <c r="E148" s="27">
        <v>90.8</v>
      </c>
      <c r="F148" s="27">
        <v>9.1999999999999993</v>
      </c>
      <c r="G148" s="27">
        <v>23000</v>
      </c>
      <c r="L148" s="27" t="s">
        <v>67</v>
      </c>
      <c r="U148" s="27" t="s">
        <v>37</v>
      </c>
      <c r="V148" s="27" t="s">
        <v>47</v>
      </c>
      <c r="W148" s="27">
        <v>10</v>
      </c>
      <c r="X148" s="27" t="s">
        <v>93</v>
      </c>
      <c r="AE148" s="27">
        <v>90</v>
      </c>
    </row>
    <row r="149" spans="1:31" s="41" customFormat="1" ht="15" customHeight="1">
      <c r="A149" s="41">
        <v>18</v>
      </c>
      <c r="B149" s="41">
        <v>1</v>
      </c>
      <c r="C149" s="18" t="s">
        <v>31</v>
      </c>
      <c r="E149" s="41">
        <v>100</v>
      </c>
      <c r="G149" s="41">
        <v>7300</v>
      </c>
      <c r="H149" s="41" t="s">
        <v>32</v>
      </c>
      <c r="L149" s="41" t="s">
        <v>56</v>
      </c>
      <c r="Q149" s="41">
        <v>140</v>
      </c>
      <c r="R149" s="41" t="s">
        <v>57</v>
      </c>
      <c r="U149" s="41" t="s">
        <v>37</v>
      </c>
      <c r="V149" s="41" t="s">
        <v>94</v>
      </c>
      <c r="W149" s="41">
        <v>52</v>
      </c>
      <c r="X149" s="41" t="s">
        <v>77</v>
      </c>
      <c r="AE149" s="41">
        <v>48</v>
      </c>
    </row>
    <row r="150" spans="1:31" ht="15" customHeight="1">
      <c r="A150" s="27">
        <v>18</v>
      </c>
      <c r="B150" s="27">
        <v>2</v>
      </c>
      <c r="C150" s="19" t="s">
        <v>31</v>
      </c>
      <c r="E150" s="27">
        <v>100</v>
      </c>
      <c r="G150" s="27">
        <v>7300</v>
      </c>
      <c r="H150" s="27" t="s">
        <v>32</v>
      </c>
      <c r="L150" s="27" t="s">
        <v>56</v>
      </c>
      <c r="Q150" s="27">
        <v>140</v>
      </c>
      <c r="R150" s="27" t="s">
        <v>57</v>
      </c>
      <c r="U150" s="27" t="s">
        <v>37</v>
      </c>
      <c r="V150" s="27" t="s">
        <v>94</v>
      </c>
      <c r="W150" s="27">
        <v>52</v>
      </c>
      <c r="X150" s="27" t="s">
        <v>77</v>
      </c>
      <c r="AE150" s="27">
        <v>48</v>
      </c>
    </row>
    <row r="151" spans="1:31" ht="15" customHeight="1">
      <c r="A151" s="27">
        <v>18</v>
      </c>
      <c r="B151" s="27">
        <v>3</v>
      </c>
      <c r="C151" s="19" t="s">
        <v>31</v>
      </c>
      <c r="E151" s="27">
        <v>100</v>
      </c>
      <c r="G151" s="27">
        <v>7300</v>
      </c>
      <c r="H151" s="27" t="s">
        <v>32</v>
      </c>
      <c r="L151" s="27" t="s">
        <v>56</v>
      </c>
      <c r="Q151" s="27">
        <v>140</v>
      </c>
      <c r="R151" s="27" t="s">
        <v>57</v>
      </c>
      <c r="U151" s="27" t="s">
        <v>37</v>
      </c>
      <c r="V151" s="27" t="s">
        <v>94</v>
      </c>
      <c r="W151" s="27">
        <v>52</v>
      </c>
      <c r="X151" s="27" t="s">
        <v>77</v>
      </c>
      <c r="AE151" s="27">
        <v>48</v>
      </c>
    </row>
    <row r="152" spans="1:31" ht="15" customHeight="1">
      <c r="A152" s="27">
        <v>18</v>
      </c>
      <c r="B152" s="27">
        <v>4</v>
      </c>
      <c r="C152" s="19" t="s">
        <v>31</v>
      </c>
      <c r="E152" s="27">
        <v>100</v>
      </c>
      <c r="G152" s="27">
        <v>7300</v>
      </c>
      <c r="H152" s="27" t="s">
        <v>32</v>
      </c>
      <c r="L152" s="27" t="s">
        <v>56</v>
      </c>
      <c r="Q152" s="27">
        <v>140</v>
      </c>
      <c r="R152" s="27" t="s">
        <v>57</v>
      </c>
      <c r="U152" s="27" t="s">
        <v>37</v>
      </c>
      <c r="V152" s="27" t="s">
        <v>94</v>
      </c>
      <c r="W152" s="27">
        <v>52</v>
      </c>
      <c r="X152" s="27" t="s">
        <v>77</v>
      </c>
      <c r="AE152" s="27">
        <v>48</v>
      </c>
    </row>
    <row r="153" spans="1:31" ht="15" customHeight="1">
      <c r="A153" s="27">
        <v>18</v>
      </c>
      <c r="B153" s="27">
        <v>5</v>
      </c>
      <c r="C153" s="19" t="s">
        <v>31</v>
      </c>
      <c r="E153" s="27">
        <v>100</v>
      </c>
      <c r="G153" s="27">
        <v>7300</v>
      </c>
      <c r="H153" s="27" t="s">
        <v>32</v>
      </c>
      <c r="L153" s="27" t="s">
        <v>56</v>
      </c>
      <c r="Q153" s="27">
        <v>140</v>
      </c>
      <c r="R153" s="27" t="s">
        <v>57</v>
      </c>
      <c r="U153" s="27" t="s">
        <v>37</v>
      </c>
      <c r="V153" s="27" t="s">
        <v>94</v>
      </c>
      <c r="W153" s="27">
        <v>52</v>
      </c>
      <c r="X153" s="27" t="s">
        <v>77</v>
      </c>
      <c r="AE153" s="27">
        <v>48</v>
      </c>
    </row>
    <row r="154" spans="1:31" ht="15" customHeight="1">
      <c r="A154" s="27">
        <v>18</v>
      </c>
      <c r="B154" s="27">
        <v>6</v>
      </c>
      <c r="C154" s="19" t="s">
        <v>31</v>
      </c>
      <c r="E154" s="27">
        <v>100</v>
      </c>
      <c r="G154" s="27">
        <v>7300</v>
      </c>
      <c r="H154" s="27" t="s">
        <v>32</v>
      </c>
      <c r="L154" s="27" t="s">
        <v>56</v>
      </c>
      <c r="Q154" s="27">
        <v>140</v>
      </c>
      <c r="R154" s="27" t="s">
        <v>57</v>
      </c>
      <c r="U154" s="27" t="s">
        <v>37</v>
      </c>
      <c r="V154" s="27" t="s">
        <v>94</v>
      </c>
      <c r="W154" s="27">
        <v>52</v>
      </c>
      <c r="X154" s="27" t="s">
        <v>77</v>
      </c>
      <c r="AE154" s="27">
        <v>48</v>
      </c>
    </row>
    <row r="155" spans="1:31" ht="15" customHeight="1">
      <c r="A155" s="27">
        <v>18</v>
      </c>
      <c r="B155" s="27">
        <v>7</v>
      </c>
      <c r="C155" s="19" t="s">
        <v>31</v>
      </c>
      <c r="E155" s="27">
        <v>100</v>
      </c>
      <c r="G155" s="27">
        <v>7300</v>
      </c>
      <c r="H155" s="27" t="s">
        <v>32</v>
      </c>
      <c r="L155" s="27" t="s">
        <v>56</v>
      </c>
      <c r="Q155" s="27">
        <v>140</v>
      </c>
      <c r="R155" s="27" t="s">
        <v>57</v>
      </c>
      <c r="U155" s="27" t="s">
        <v>37</v>
      </c>
      <c r="V155" s="27" t="s">
        <v>94</v>
      </c>
      <c r="W155" s="27">
        <v>52</v>
      </c>
      <c r="X155" s="27" t="s">
        <v>77</v>
      </c>
      <c r="AE155" s="27">
        <v>48</v>
      </c>
    </row>
    <row r="156" spans="1:31" ht="15" customHeight="1">
      <c r="A156" s="27">
        <v>18</v>
      </c>
      <c r="B156" s="27">
        <v>8</v>
      </c>
      <c r="C156" s="19" t="s">
        <v>31</v>
      </c>
      <c r="E156" s="27">
        <v>100</v>
      </c>
      <c r="G156" s="27">
        <v>7300</v>
      </c>
      <c r="H156" s="27" t="s">
        <v>32</v>
      </c>
      <c r="L156" s="27" t="s">
        <v>56</v>
      </c>
      <c r="Q156" s="27">
        <v>140</v>
      </c>
      <c r="R156" s="27" t="s">
        <v>57</v>
      </c>
      <c r="U156" s="27" t="s">
        <v>37</v>
      </c>
      <c r="V156" s="27" t="s">
        <v>94</v>
      </c>
      <c r="W156" s="27">
        <v>52</v>
      </c>
      <c r="X156" s="27" t="s">
        <v>77</v>
      </c>
      <c r="AE156" s="27">
        <v>48</v>
      </c>
    </row>
    <row r="157" spans="1:31" s="41" customFormat="1" ht="15" customHeight="1">
      <c r="A157" s="41">
        <v>19</v>
      </c>
      <c r="B157" s="41">
        <v>1</v>
      </c>
      <c r="C157" s="18" t="s">
        <v>31</v>
      </c>
      <c r="D157" s="41" t="s">
        <v>36</v>
      </c>
      <c r="E157" s="41">
        <v>92</v>
      </c>
      <c r="F157" s="41">
        <v>8</v>
      </c>
      <c r="G157" s="41">
        <v>71000</v>
      </c>
      <c r="H157" s="41" t="s">
        <v>32</v>
      </c>
      <c r="L157" s="41" t="s">
        <v>56</v>
      </c>
      <c r="Q157" s="41">
        <v>84.75</v>
      </c>
      <c r="R157" s="41" t="s">
        <v>57</v>
      </c>
      <c r="U157" s="41" t="s">
        <v>37</v>
      </c>
      <c r="V157" s="41" t="s">
        <v>95</v>
      </c>
      <c r="W157" s="41">
        <v>2.5</v>
      </c>
      <c r="X157" s="18" t="s">
        <v>96</v>
      </c>
      <c r="AE157" s="41">
        <v>97.5</v>
      </c>
    </row>
    <row r="158" spans="1:31" ht="15" customHeight="1">
      <c r="A158" s="27">
        <v>19</v>
      </c>
      <c r="B158" s="27">
        <v>2</v>
      </c>
      <c r="C158" s="19" t="s">
        <v>31</v>
      </c>
      <c r="D158" s="27" t="s">
        <v>36</v>
      </c>
      <c r="E158" s="27">
        <v>92</v>
      </c>
      <c r="F158" s="27">
        <v>8</v>
      </c>
      <c r="G158" s="27">
        <v>71000</v>
      </c>
      <c r="H158" s="27" t="s">
        <v>32</v>
      </c>
      <c r="L158" s="27" t="s">
        <v>56</v>
      </c>
      <c r="Q158" s="27">
        <v>84.75</v>
      </c>
      <c r="R158" s="27" t="s">
        <v>57</v>
      </c>
      <c r="U158" s="27" t="s">
        <v>37</v>
      </c>
      <c r="V158" s="27" t="s">
        <v>95</v>
      </c>
      <c r="W158" s="27">
        <v>2.5</v>
      </c>
      <c r="X158" s="27" t="s">
        <v>96</v>
      </c>
      <c r="AE158" s="27">
        <v>97.5</v>
      </c>
    </row>
    <row r="159" spans="1:31" s="41" customFormat="1" ht="15" customHeight="1">
      <c r="A159" s="41">
        <v>20</v>
      </c>
      <c r="B159" s="41">
        <v>1</v>
      </c>
      <c r="C159" s="18" t="s">
        <v>31</v>
      </c>
      <c r="D159" s="41" t="s">
        <v>36</v>
      </c>
      <c r="E159" s="41">
        <v>88</v>
      </c>
      <c r="F159" s="41">
        <v>12</v>
      </c>
      <c r="L159" s="41" t="s">
        <v>67</v>
      </c>
      <c r="Q159" s="41">
        <v>2.46</v>
      </c>
      <c r="R159" s="41" t="s">
        <v>34</v>
      </c>
      <c r="U159" s="41" t="s">
        <v>35</v>
      </c>
      <c r="AE159" s="41">
        <v>100</v>
      </c>
    </row>
    <row r="160" spans="1:31" ht="15" customHeight="1">
      <c r="A160" s="27">
        <v>20</v>
      </c>
      <c r="B160" s="27">
        <v>2</v>
      </c>
      <c r="C160" s="19" t="s">
        <v>31</v>
      </c>
      <c r="D160" s="27" t="s">
        <v>36</v>
      </c>
      <c r="E160" s="27">
        <v>88</v>
      </c>
      <c r="F160" s="27">
        <v>12</v>
      </c>
      <c r="L160" s="27" t="s">
        <v>67</v>
      </c>
      <c r="Q160" s="27">
        <v>2.46</v>
      </c>
      <c r="R160" s="27" t="s">
        <v>34</v>
      </c>
      <c r="U160" s="27" t="s">
        <v>35</v>
      </c>
      <c r="AE160" s="27">
        <v>100</v>
      </c>
    </row>
    <row r="161" spans="1:31" ht="15" customHeight="1">
      <c r="A161" s="27">
        <v>20</v>
      </c>
      <c r="B161" s="27">
        <v>3</v>
      </c>
      <c r="C161" s="19" t="s">
        <v>31</v>
      </c>
      <c r="D161" s="27" t="s">
        <v>36</v>
      </c>
      <c r="E161" s="27">
        <v>88</v>
      </c>
      <c r="F161" s="27">
        <v>12</v>
      </c>
      <c r="L161" s="27" t="s">
        <v>67</v>
      </c>
      <c r="Q161" s="27">
        <v>2.46</v>
      </c>
      <c r="R161" s="27" t="s">
        <v>34</v>
      </c>
      <c r="U161" s="27" t="s">
        <v>35</v>
      </c>
      <c r="AE161" s="27">
        <v>100</v>
      </c>
    </row>
    <row r="162" spans="1:31" ht="15" customHeight="1">
      <c r="A162" s="27">
        <v>20</v>
      </c>
      <c r="B162" s="27">
        <v>4</v>
      </c>
      <c r="C162" s="19" t="s">
        <v>31</v>
      </c>
      <c r="D162" s="27" t="s">
        <v>36</v>
      </c>
      <c r="E162" s="27">
        <v>88</v>
      </c>
      <c r="F162" s="27">
        <v>12</v>
      </c>
      <c r="L162" s="27" t="s">
        <v>67</v>
      </c>
      <c r="Q162" s="27">
        <v>2.46</v>
      </c>
      <c r="R162" s="27" t="s">
        <v>34</v>
      </c>
      <c r="U162" s="27" t="s">
        <v>35</v>
      </c>
      <c r="AE162" s="27">
        <v>100</v>
      </c>
    </row>
    <row r="163" spans="1:31" ht="15" customHeight="1">
      <c r="A163" s="27">
        <v>20</v>
      </c>
      <c r="B163" s="27">
        <v>5</v>
      </c>
      <c r="C163" s="19" t="s">
        <v>31</v>
      </c>
      <c r="D163" s="27" t="s">
        <v>36</v>
      </c>
      <c r="E163" s="27">
        <v>88</v>
      </c>
      <c r="F163" s="27">
        <v>12</v>
      </c>
      <c r="L163" s="27" t="s">
        <v>67</v>
      </c>
      <c r="Q163" s="27">
        <v>2.46</v>
      </c>
      <c r="R163" s="27" t="s">
        <v>34</v>
      </c>
      <c r="U163" s="27" t="s">
        <v>35</v>
      </c>
      <c r="AE163" s="27">
        <v>100</v>
      </c>
    </row>
    <row r="164" spans="1:31" ht="15" customHeight="1">
      <c r="A164" s="27">
        <v>20</v>
      </c>
      <c r="B164" s="27">
        <v>6</v>
      </c>
      <c r="C164" s="19" t="s">
        <v>31</v>
      </c>
      <c r="D164" s="27" t="s">
        <v>36</v>
      </c>
      <c r="E164" s="27">
        <v>88</v>
      </c>
      <c r="F164" s="27">
        <v>12</v>
      </c>
      <c r="L164" s="27" t="s">
        <v>67</v>
      </c>
      <c r="Q164" s="27">
        <v>2.46</v>
      </c>
      <c r="R164" s="27" t="s">
        <v>34</v>
      </c>
      <c r="U164" s="27" t="s">
        <v>37</v>
      </c>
      <c r="V164" s="27" t="s">
        <v>97</v>
      </c>
      <c r="W164" s="27">
        <v>12.5</v>
      </c>
      <c r="X164" s="27" t="s">
        <v>98</v>
      </c>
      <c r="AE164" s="27">
        <v>87.5</v>
      </c>
    </row>
    <row r="165" spans="1:31" ht="15" customHeight="1">
      <c r="A165" s="27">
        <v>20</v>
      </c>
      <c r="B165" s="27">
        <v>7</v>
      </c>
      <c r="C165" s="19" t="s">
        <v>31</v>
      </c>
      <c r="D165" s="27" t="s">
        <v>36</v>
      </c>
      <c r="E165" s="27">
        <v>88</v>
      </c>
      <c r="F165" s="27">
        <v>12</v>
      </c>
      <c r="L165" s="27" t="s">
        <v>67</v>
      </c>
      <c r="Q165" s="27">
        <v>2.46</v>
      </c>
      <c r="R165" s="27" t="s">
        <v>34</v>
      </c>
      <c r="U165" s="27" t="s">
        <v>37</v>
      </c>
      <c r="V165" s="27" t="s">
        <v>97</v>
      </c>
      <c r="W165" s="27">
        <v>12.5</v>
      </c>
      <c r="X165" s="27" t="s">
        <v>98</v>
      </c>
      <c r="AE165" s="27">
        <v>87.5</v>
      </c>
    </row>
    <row r="166" spans="1:31" ht="15" customHeight="1">
      <c r="A166" s="27">
        <v>20</v>
      </c>
      <c r="B166" s="27">
        <v>8</v>
      </c>
      <c r="C166" s="19" t="s">
        <v>31</v>
      </c>
      <c r="D166" s="27" t="s">
        <v>36</v>
      </c>
      <c r="E166" s="27">
        <v>88</v>
      </c>
      <c r="F166" s="27">
        <v>12</v>
      </c>
      <c r="L166" s="27" t="s">
        <v>67</v>
      </c>
      <c r="Q166" s="27">
        <v>2.46</v>
      </c>
      <c r="R166" s="27" t="s">
        <v>34</v>
      </c>
      <c r="U166" s="27" t="s">
        <v>37</v>
      </c>
      <c r="V166" s="27" t="s">
        <v>97</v>
      </c>
      <c r="W166" s="27">
        <v>12.5</v>
      </c>
      <c r="X166" s="27" t="s">
        <v>98</v>
      </c>
      <c r="AE166" s="27">
        <v>87.5</v>
      </c>
    </row>
    <row r="167" spans="1:31" ht="15" customHeight="1">
      <c r="A167" s="27">
        <v>20</v>
      </c>
      <c r="B167" s="27">
        <v>9</v>
      </c>
      <c r="C167" s="19" t="s">
        <v>31</v>
      </c>
      <c r="D167" s="27" t="s">
        <v>36</v>
      </c>
      <c r="E167" s="27">
        <v>88</v>
      </c>
      <c r="F167" s="27">
        <v>12</v>
      </c>
      <c r="L167" s="27" t="s">
        <v>67</v>
      </c>
      <c r="Q167" s="27">
        <v>2.46</v>
      </c>
      <c r="R167" s="27" t="s">
        <v>34</v>
      </c>
      <c r="U167" s="27" t="s">
        <v>37</v>
      </c>
      <c r="V167" s="27" t="s">
        <v>97</v>
      </c>
      <c r="W167" s="27">
        <v>12.5</v>
      </c>
      <c r="X167" s="27" t="s">
        <v>98</v>
      </c>
      <c r="AE167" s="27">
        <v>87.5</v>
      </c>
    </row>
    <row r="168" spans="1:31" ht="15" customHeight="1">
      <c r="A168" s="27">
        <v>20</v>
      </c>
      <c r="B168" s="27">
        <v>10</v>
      </c>
      <c r="C168" s="19" t="s">
        <v>31</v>
      </c>
      <c r="D168" s="27" t="s">
        <v>36</v>
      </c>
      <c r="E168" s="27">
        <v>88</v>
      </c>
      <c r="F168" s="27">
        <v>12</v>
      </c>
      <c r="L168" s="27" t="s">
        <v>67</v>
      </c>
      <c r="Q168" s="27">
        <v>2.46</v>
      </c>
      <c r="R168" s="27" t="s">
        <v>34</v>
      </c>
      <c r="U168" s="27" t="s">
        <v>37</v>
      </c>
      <c r="V168" s="27" t="s">
        <v>97</v>
      </c>
      <c r="W168" s="27">
        <v>12.5</v>
      </c>
      <c r="X168" s="27" t="s">
        <v>98</v>
      </c>
      <c r="AE168" s="27">
        <v>87.5</v>
      </c>
    </row>
    <row r="169" spans="1:31" ht="15" customHeight="1">
      <c r="A169" s="27">
        <v>20</v>
      </c>
      <c r="B169" s="27">
        <v>11</v>
      </c>
      <c r="C169" s="19" t="s">
        <v>31</v>
      </c>
      <c r="D169" s="27" t="s">
        <v>36</v>
      </c>
      <c r="E169" s="27">
        <v>88</v>
      </c>
      <c r="F169" s="27">
        <v>12</v>
      </c>
      <c r="L169" s="27" t="s">
        <v>67</v>
      </c>
      <c r="Q169" s="27">
        <v>2.46</v>
      </c>
      <c r="R169" s="27" t="s">
        <v>34</v>
      </c>
      <c r="U169" s="27" t="s">
        <v>37</v>
      </c>
      <c r="V169" s="27" t="s">
        <v>97</v>
      </c>
      <c r="W169" s="27">
        <v>20.3</v>
      </c>
      <c r="X169" s="27" t="s">
        <v>98</v>
      </c>
      <c r="AE169" s="27">
        <f t="shared" ref="AE169:AE173" si="0">100-20.3</f>
        <v>79.7</v>
      </c>
    </row>
    <row r="170" spans="1:31" ht="15" customHeight="1">
      <c r="A170" s="27">
        <v>20</v>
      </c>
      <c r="B170" s="27">
        <v>12</v>
      </c>
      <c r="C170" s="19" t="s">
        <v>31</v>
      </c>
      <c r="D170" s="27" t="s">
        <v>36</v>
      </c>
      <c r="E170" s="27">
        <v>88</v>
      </c>
      <c r="F170" s="27">
        <v>12</v>
      </c>
      <c r="L170" s="27" t="s">
        <v>67</v>
      </c>
      <c r="Q170" s="27">
        <v>2.46</v>
      </c>
      <c r="R170" s="27" t="s">
        <v>34</v>
      </c>
      <c r="U170" s="27" t="s">
        <v>37</v>
      </c>
      <c r="V170" s="27" t="s">
        <v>97</v>
      </c>
      <c r="W170" s="27">
        <v>20.3</v>
      </c>
      <c r="X170" s="27" t="s">
        <v>98</v>
      </c>
      <c r="AE170" s="27">
        <f t="shared" si="0"/>
        <v>79.7</v>
      </c>
    </row>
    <row r="171" spans="1:31" ht="15" customHeight="1">
      <c r="A171" s="27">
        <v>20</v>
      </c>
      <c r="B171" s="27">
        <v>13</v>
      </c>
      <c r="C171" s="19" t="s">
        <v>31</v>
      </c>
      <c r="D171" s="27" t="s">
        <v>36</v>
      </c>
      <c r="E171" s="27">
        <v>88</v>
      </c>
      <c r="F171" s="27">
        <v>12</v>
      </c>
      <c r="L171" s="27" t="s">
        <v>67</v>
      </c>
      <c r="Q171" s="27">
        <v>2.46</v>
      </c>
      <c r="R171" s="27" t="s">
        <v>34</v>
      </c>
      <c r="U171" s="27" t="s">
        <v>37</v>
      </c>
      <c r="V171" s="27" t="s">
        <v>97</v>
      </c>
      <c r="W171" s="27">
        <v>20.3</v>
      </c>
      <c r="X171" s="27" t="s">
        <v>98</v>
      </c>
      <c r="AE171" s="27">
        <f t="shared" si="0"/>
        <v>79.7</v>
      </c>
    </row>
    <row r="172" spans="1:31" ht="15" customHeight="1">
      <c r="A172" s="27">
        <v>20</v>
      </c>
      <c r="B172" s="27">
        <v>14</v>
      </c>
      <c r="C172" s="19" t="s">
        <v>31</v>
      </c>
      <c r="D172" s="27" t="s">
        <v>36</v>
      </c>
      <c r="E172" s="27">
        <v>88</v>
      </c>
      <c r="F172" s="27">
        <v>12</v>
      </c>
      <c r="L172" s="27" t="s">
        <v>67</v>
      </c>
      <c r="Q172" s="27">
        <v>2.46</v>
      </c>
      <c r="R172" s="27" t="s">
        <v>34</v>
      </c>
      <c r="U172" s="27" t="s">
        <v>37</v>
      </c>
      <c r="V172" s="27" t="s">
        <v>97</v>
      </c>
      <c r="W172" s="27">
        <v>20.3</v>
      </c>
      <c r="X172" s="27" t="s">
        <v>98</v>
      </c>
      <c r="AE172" s="27">
        <f t="shared" si="0"/>
        <v>79.7</v>
      </c>
    </row>
    <row r="173" spans="1:31" ht="15" customHeight="1">
      <c r="A173" s="27">
        <v>20</v>
      </c>
      <c r="B173" s="27">
        <v>15</v>
      </c>
      <c r="C173" s="19" t="s">
        <v>31</v>
      </c>
      <c r="D173" s="27" t="s">
        <v>36</v>
      </c>
      <c r="E173" s="27">
        <v>88</v>
      </c>
      <c r="F173" s="27">
        <v>12</v>
      </c>
      <c r="L173" s="27" t="s">
        <v>67</v>
      </c>
      <c r="Q173" s="27">
        <v>2.46</v>
      </c>
      <c r="R173" s="27" t="s">
        <v>34</v>
      </c>
      <c r="U173" s="27" t="s">
        <v>37</v>
      </c>
      <c r="V173" s="27" t="s">
        <v>97</v>
      </c>
      <c r="W173" s="27">
        <v>20.3</v>
      </c>
      <c r="X173" s="27" t="s">
        <v>98</v>
      </c>
      <c r="AE173" s="27">
        <f t="shared" si="0"/>
        <v>79.7</v>
      </c>
    </row>
    <row r="174" spans="1:31" s="41" customFormat="1" ht="15" customHeight="1">
      <c r="A174" s="41">
        <v>21</v>
      </c>
      <c r="B174" s="41">
        <v>1</v>
      </c>
      <c r="C174" s="18" t="s">
        <v>31</v>
      </c>
      <c r="E174" s="41">
        <v>100</v>
      </c>
      <c r="G174" s="41">
        <v>240000</v>
      </c>
      <c r="H174" s="41" t="s">
        <v>32</v>
      </c>
      <c r="K174" s="41">
        <v>8</v>
      </c>
      <c r="L174" s="41" t="s">
        <v>33</v>
      </c>
      <c r="M174" s="41">
        <v>22.54</v>
      </c>
      <c r="U174" s="41" t="s">
        <v>35</v>
      </c>
      <c r="AE174" s="41">
        <v>100</v>
      </c>
    </row>
    <row r="175" spans="1:31" ht="15" customHeight="1">
      <c r="A175" s="27">
        <v>21</v>
      </c>
      <c r="B175" s="27">
        <v>2</v>
      </c>
      <c r="C175" s="19" t="s">
        <v>31</v>
      </c>
      <c r="E175" s="27">
        <v>100</v>
      </c>
      <c r="G175" s="27">
        <v>240000</v>
      </c>
      <c r="H175" s="27" t="s">
        <v>32</v>
      </c>
      <c r="K175" s="27">
        <v>8</v>
      </c>
      <c r="L175" s="27" t="s">
        <v>33</v>
      </c>
      <c r="M175" s="27">
        <v>22.54</v>
      </c>
      <c r="U175" s="27" t="s">
        <v>35</v>
      </c>
      <c r="AE175" s="27">
        <v>100</v>
      </c>
    </row>
    <row r="176" spans="1:31" ht="15" customHeight="1">
      <c r="A176" s="27">
        <v>21</v>
      </c>
      <c r="B176" s="27">
        <v>3</v>
      </c>
      <c r="C176" s="19" t="s">
        <v>31</v>
      </c>
      <c r="E176" s="27">
        <v>100</v>
      </c>
      <c r="G176" s="27">
        <v>240000</v>
      </c>
      <c r="H176" s="27" t="s">
        <v>32</v>
      </c>
      <c r="K176" s="27">
        <v>8</v>
      </c>
      <c r="L176" s="27" t="s">
        <v>33</v>
      </c>
      <c r="M176" s="27">
        <v>22.54</v>
      </c>
      <c r="U176" s="27" t="s">
        <v>35</v>
      </c>
      <c r="AE176" s="27">
        <v>100</v>
      </c>
    </row>
    <row r="177" spans="1:31" ht="15" customHeight="1">
      <c r="A177" s="27">
        <v>21</v>
      </c>
      <c r="B177" s="27">
        <v>4</v>
      </c>
      <c r="C177" s="19" t="s">
        <v>31</v>
      </c>
      <c r="E177" s="27">
        <v>100</v>
      </c>
      <c r="G177" s="27">
        <v>240000</v>
      </c>
      <c r="H177" s="27" t="s">
        <v>32</v>
      </c>
      <c r="K177" s="27">
        <v>8</v>
      </c>
      <c r="L177" s="27" t="s">
        <v>33</v>
      </c>
      <c r="M177" s="27">
        <v>22.54</v>
      </c>
      <c r="U177" s="27" t="s">
        <v>35</v>
      </c>
      <c r="AE177" s="27">
        <v>100</v>
      </c>
    </row>
    <row r="178" spans="1:31" ht="15" customHeight="1">
      <c r="A178" s="27">
        <v>21</v>
      </c>
      <c r="B178" s="27">
        <v>5</v>
      </c>
      <c r="C178" s="19" t="s">
        <v>31</v>
      </c>
      <c r="E178" s="27">
        <v>100</v>
      </c>
      <c r="G178" s="27">
        <v>240000</v>
      </c>
      <c r="H178" s="27" t="s">
        <v>32</v>
      </c>
      <c r="K178" s="27">
        <v>8</v>
      </c>
      <c r="L178" s="27" t="s">
        <v>33</v>
      </c>
      <c r="M178" s="27">
        <v>22.54</v>
      </c>
      <c r="U178" s="27" t="s">
        <v>35</v>
      </c>
      <c r="AE178" s="27">
        <v>100</v>
      </c>
    </row>
    <row r="179" spans="1:31" ht="15" customHeight="1">
      <c r="A179" s="27">
        <v>21</v>
      </c>
      <c r="B179" s="27">
        <v>6</v>
      </c>
      <c r="C179" s="19" t="s">
        <v>31</v>
      </c>
      <c r="D179" s="27" t="s">
        <v>36</v>
      </c>
      <c r="G179" s="27">
        <v>270000</v>
      </c>
      <c r="H179" s="27" t="s">
        <v>32</v>
      </c>
      <c r="K179" s="27">
        <v>3.37</v>
      </c>
      <c r="L179" s="27" t="s">
        <v>33</v>
      </c>
      <c r="M179" s="27">
        <v>34.01</v>
      </c>
      <c r="U179" s="27" t="s">
        <v>35</v>
      </c>
      <c r="AE179" s="27">
        <v>100</v>
      </c>
    </row>
    <row r="180" spans="1:31" ht="15" customHeight="1">
      <c r="A180" s="27">
        <v>21</v>
      </c>
      <c r="B180" s="27">
        <v>7</v>
      </c>
      <c r="C180" s="19" t="s">
        <v>31</v>
      </c>
      <c r="D180" s="27" t="s">
        <v>36</v>
      </c>
      <c r="G180" s="27">
        <v>270000</v>
      </c>
      <c r="H180" s="27" t="s">
        <v>32</v>
      </c>
      <c r="K180" s="27">
        <v>3.37</v>
      </c>
      <c r="L180" s="27" t="s">
        <v>33</v>
      </c>
      <c r="M180" s="27">
        <v>34.01</v>
      </c>
      <c r="U180" s="27" t="s">
        <v>35</v>
      </c>
      <c r="AE180" s="27">
        <v>100</v>
      </c>
    </row>
    <row r="181" spans="1:31" ht="15" customHeight="1">
      <c r="A181" s="27">
        <v>21</v>
      </c>
      <c r="B181" s="27">
        <v>8</v>
      </c>
      <c r="C181" s="19" t="s">
        <v>31</v>
      </c>
      <c r="D181" s="27" t="s">
        <v>36</v>
      </c>
      <c r="G181" s="27">
        <v>270000</v>
      </c>
      <c r="H181" s="27" t="s">
        <v>32</v>
      </c>
      <c r="K181" s="27">
        <v>3.37</v>
      </c>
      <c r="L181" s="27" t="s">
        <v>33</v>
      </c>
      <c r="M181" s="27">
        <v>34.01</v>
      </c>
      <c r="U181" s="27" t="s">
        <v>35</v>
      </c>
      <c r="AE181" s="27">
        <v>100</v>
      </c>
    </row>
    <row r="182" spans="1:31" ht="15" customHeight="1">
      <c r="A182" s="27">
        <v>21</v>
      </c>
      <c r="B182" s="27">
        <v>9</v>
      </c>
      <c r="C182" s="19" t="s">
        <v>31</v>
      </c>
      <c r="D182" s="27" t="s">
        <v>36</v>
      </c>
      <c r="G182" s="27">
        <v>270000</v>
      </c>
      <c r="H182" s="27" t="s">
        <v>32</v>
      </c>
      <c r="K182" s="27">
        <v>3.37</v>
      </c>
      <c r="L182" s="27" t="s">
        <v>33</v>
      </c>
      <c r="M182" s="27">
        <v>34.01</v>
      </c>
      <c r="U182" s="27" t="s">
        <v>35</v>
      </c>
      <c r="AE182" s="27">
        <v>100</v>
      </c>
    </row>
    <row r="183" spans="1:31" ht="15" customHeight="1">
      <c r="A183" s="27">
        <v>21</v>
      </c>
      <c r="B183" s="27">
        <v>10</v>
      </c>
      <c r="C183" s="19" t="s">
        <v>31</v>
      </c>
      <c r="D183" s="27" t="s">
        <v>36</v>
      </c>
      <c r="G183" s="27">
        <v>270000</v>
      </c>
      <c r="H183" s="27" t="s">
        <v>32</v>
      </c>
      <c r="K183" s="27">
        <v>3.37</v>
      </c>
      <c r="L183" s="27" t="s">
        <v>33</v>
      </c>
      <c r="M183" s="27">
        <v>34.01</v>
      </c>
      <c r="U183" s="27" t="s">
        <v>35</v>
      </c>
      <c r="AE183" s="27">
        <v>100</v>
      </c>
    </row>
    <row r="184" spans="1:31" ht="15" customHeight="1">
      <c r="A184" s="27">
        <v>21</v>
      </c>
      <c r="B184" s="27">
        <v>11</v>
      </c>
      <c r="C184" s="19" t="s">
        <v>31</v>
      </c>
      <c r="E184" s="27">
        <v>100</v>
      </c>
      <c r="G184" s="27">
        <v>240000</v>
      </c>
      <c r="H184" s="27" t="s">
        <v>32</v>
      </c>
      <c r="K184" s="27">
        <v>8</v>
      </c>
      <c r="L184" s="27" t="s">
        <v>33</v>
      </c>
      <c r="M184" s="27">
        <v>22.54</v>
      </c>
      <c r="U184" s="27" t="s">
        <v>37</v>
      </c>
      <c r="V184" s="27" t="s">
        <v>38</v>
      </c>
      <c r="W184" s="27">
        <v>30</v>
      </c>
      <c r="X184" s="27" t="s">
        <v>39</v>
      </c>
      <c r="AE184" s="27">
        <v>70</v>
      </c>
    </row>
    <row r="185" spans="1:31" ht="15" customHeight="1">
      <c r="A185" s="27">
        <v>21</v>
      </c>
      <c r="B185" s="27">
        <v>12</v>
      </c>
      <c r="C185" s="19" t="s">
        <v>31</v>
      </c>
      <c r="E185" s="27">
        <v>100</v>
      </c>
      <c r="G185" s="27">
        <v>240000</v>
      </c>
      <c r="H185" s="27" t="s">
        <v>32</v>
      </c>
      <c r="K185" s="27">
        <v>8</v>
      </c>
      <c r="L185" s="27" t="s">
        <v>33</v>
      </c>
      <c r="M185" s="27">
        <v>22.54</v>
      </c>
      <c r="U185" s="27" t="s">
        <v>37</v>
      </c>
      <c r="V185" s="27" t="s">
        <v>38</v>
      </c>
      <c r="W185" s="27">
        <v>30</v>
      </c>
      <c r="X185" s="27" t="s">
        <v>39</v>
      </c>
      <c r="AE185" s="27">
        <v>70</v>
      </c>
    </row>
    <row r="186" spans="1:31" ht="15" customHeight="1">
      <c r="A186" s="27">
        <v>21</v>
      </c>
      <c r="B186" s="27">
        <v>13</v>
      </c>
      <c r="C186" s="19" t="s">
        <v>31</v>
      </c>
      <c r="E186" s="27">
        <v>100</v>
      </c>
      <c r="G186" s="27">
        <v>240000</v>
      </c>
      <c r="H186" s="27" t="s">
        <v>32</v>
      </c>
      <c r="K186" s="27">
        <v>8</v>
      </c>
      <c r="L186" s="27" t="s">
        <v>33</v>
      </c>
      <c r="M186" s="27">
        <v>22.54</v>
      </c>
      <c r="U186" s="27" t="s">
        <v>37</v>
      </c>
      <c r="V186" s="27" t="s">
        <v>38</v>
      </c>
      <c r="W186" s="27">
        <v>30</v>
      </c>
      <c r="X186" s="27" t="s">
        <v>39</v>
      </c>
      <c r="AE186" s="27">
        <v>70</v>
      </c>
    </row>
    <row r="187" spans="1:31" ht="15" customHeight="1">
      <c r="A187" s="27">
        <v>21</v>
      </c>
      <c r="B187" s="27">
        <v>14</v>
      </c>
      <c r="C187" s="19" t="s">
        <v>31</v>
      </c>
      <c r="E187" s="27">
        <v>100</v>
      </c>
      <c r="G187" s="27">
        <v>240000</v>
      </c>
      <c r="H187" s="27" t="s">
        <v>32</v>
      </c>
      <c r="K187" s="27">
        <v>8</v>
      </c>
      <c r="L187" s="27" t="s">
        <v>33</v>
      </c>
      <c r="M187" s="27">
        <v>22.54</v>
      </c>
      <c r="U187" s="27" t="s">
        <v>37</v>
      </c>
      <c r="V187" s="27" t="s">
        <v>38</v>
      </c>
      <c r="W187" s="27">
        <v>30</v>
      </c>
      <c r="X187" s="27" t="s">
        <v>39</v>
      </c>
      <c r="AE187" s="27">
        <v>70</v>
      </c>
    </row>
    <row r="188" spans="1:31" ht="15" customHeight="1">
      <c r="A188" s="27">
        <v>21</v>
      </c>
      <c r="B188" s="27">
        <v>15</v>
      </c>
      <c r="C188" s="19" t="s">
        <v>31</v>
      </c>
      <c r="E188" s="27">
        <v>100</v>
      </c>
      <c r="G188" s="27">
        <v>240000</v>
      </c>
      <c r="H188" s="27" t="s">
        <v>32</v>
      </c>
      <c r="K188" s="27">
        <v>8</v>
      </c>
      <c r="L188" s="27" t="s">
        <v>33</v>
      </c>
      <c r="M188" s="27">
        <v>22.54</v>
      </c>
      <c r="U188" s="27" t="s">
        <v>37</v>
      </c>
      <c r="V188" s="27" t="s">
        <v>38</v>
      </c>
      <c r="W188" s="27">
        <v>30</v>
      </c>
      <c r="X188" s="27" t="s">
        <v>39</v>
      </c>
      <c r="AE188" s="27">
        <v>70</v>
      </c>
    </row>
    <row r="189" spans="1:31" ht="15" customHeight="1">
      <c r="A189" s="27">
        <v>21</v>
      </c>
      <c r="B189" s="27">
        <v>16</v>
      </c>
      <c r="C189" s="19" t="s">
        <v>31</v>
      </c>
      <c r="D189" s="27" t="s">
        <v>36</v>
      </c>
      <c r="G189" s="27">
        <v>270000</v>
      </c>
      <c r="H189" s="27" t="s">
        <v>32</v>
      </c>
      <c r="K189" s="27">
        <v>3.37</v>
      </c>
      <c r="L189" s="27" t="s">
        <v>33</v>
      </c>
      <c r="M189" s="27">
        <v>34.01</v>
      </c>
      <c r="U189" s="27" t="s">
        <v>37</v>
      </c>
      <c r="V189" s="27" t="s">
        <v>38</v>
      </c>
      <c r="W189" s="27">
        <v>30</v>
      </c>
      <c r="X189" s="27" t="s">
        <v>39</v>
      </c>
      <c r="AE189" s="27">
        <v>70</v>
      </c>
    </row>
    <row r="190" spans="1:31" ht="15" customHeight="1">
      <c r="A190" s="27">
        <v>21</v>
      </c>
      <c r="B190" s="27">
        <v>17</v>
      </c>
      <c r="C190" s="19" t="s">
        <v>31</v>
      </c>
      <c r="D190" s="27" t="s">
        <v>36</v>
      </c>
      <c r="G190" s="27">
        <v>270000</v>
      </c>
      <c r="H190" s="27" t="s">
        <v>32</v>
      </c>
      <c r="K190" s="27">
        <v>3.37</v>
      </c>
      <c r="L190" s="27" t="s">
        <v>33</v>
      </c>
      <c r="M190" s="27">
        <v>34.01</v>
      </c>
      <c r="U190" s="27" t="s">
        <v>37</v>
      </c>
      <c r="V190" s="27" t="s">
        <v>38</v>
      </c>
      <c r="W190" s="27">
        <v>30</v>
      </c>
      <c r="X190" s="27" t="s">
        <v>39</v>
      </c>
      <c r="AE190" s="27">
        <v>70</v>
      </c>
    </row>
    <row r="191" spans="1:31" ht="15" customHeight="1">
      <c r="A191" s="27">
        <v>21</v>
      </c>
      <c r="B191" s="27">
        <v>18</v>
      </c>
      <c r="C191" s="19" t="s">
        <v>31</v>
      </c>
      <c r="D191" s="27" t="s">
        <v>36</v>
      </c>
      <c r="G191" s="27">
        <v>270000</v>
      </c>
      <c r="H191" s="27" t="s">
        <v>32</v>
      </c>
      <c r="K191" s="27">
        <v>3.37</v>
      </c>
      <c r="L191" s="27" t="s">
        <v>33</v>
      </c>
      <c r="M191" s="27">
        <v>34.01</v>
      </c>
      <c r="U191" s="27" t="s">
        <v>37</v>
      </c>
      <c r="V191" s="27" t="s">
        <v>38</v>
      </c>
      <c r="W191" s="27">
        <v>30</v>
      </c>
      <c r="X191" s="27" t="s">
        <v>39</v>
      </c>
      <c r="AE191" s="27">
        <v>70</v>
      </c>
    </row>
    <row r="192" spans="1:31" ht="15" customHeight="1">
      <c r="A192" s="27">
        <v>21</v>
      </c>
      <c r="B192" s="27">
        <v>19</v>
      </c>
      <c r="C192" s="19" t="s">
        <v>31</v>
      </c>
      <c r="D192" s="27" t="s">
        <v>36</v>
      </c>
      <c r="G192" s="27">
        <v>270000</v>
      </c>
      <c r="H192" s="27" t="s">
        <v>32</v>
      </c>
      <c r="K192" s="27">
        <v>3.37</v>
      </c>
      <c r="L192" s="27" t="s">
        <v>33</v>
      </c>
      <c r="M192" s="27">
        <v>34.01</v>
      </c>
      <c r="U192" s="27" t="s">
        <v>37</v>
      </c>
      <c r="V192" s="27" t="s">
        <v>38</v>
      </c>
      <c r="W192" s="27">
        <v>30</v>
      </c>
      <c r="X192" s="27" t="s">
        <v>39</v>
      </c>
      <c r="AE192" s="27">
        <v>70</v>
      </c>
    </row>
    <row r="193" spans="1:31" ht="15" customHeight="1">
      <c r="A193" s="27">
        <v>21</v>
      </c>
      <c r="B193" s="27">
        <v>20</v>
      </c>
      <c r="C193" s="19" t="s">
        <v>31</v>
      </c>
      <c r="D193" s="27" t="s">
        <v>36</v>
      </c>
      <c r="G193" s="27">
        <v>270000</v>
      </c>
      <c r="H193" s="27" t="s">
        <v>32</v>
      </c>
      <c r="K193" s="27">
        <v>3.37</v>
      </c>
      <c r="L193" s="27" t="s">
        <v>33</v>
      </c>
      <c r="M193" s="27">
        <v>34.01</v>
      </c>
      <c r="U193" s="27" t="s">
        <v>37</v>
      </c>
      <c r="V193" s="27" t="s">
        <v>38</v>
      </c>
      <c r="W193" s="27">
        <v>30</v>
      </c>
      <c r="X193" s="27" t="s">
        <v>39</v>
      </c>
      <c r="AE193" s="27">
        <v>70</v>
      </c>
    </row>
    <row r="194" spans="1:31" s="41" customFormat="1" ht="15" customHeight="1">
      <c r="A194" s="41">
        <v>22</v>
      </c>
      <c r="B194" s="41">
        <v>1</v>
      </c>
      <c r="C194" s="18" t="s">
        <v>31</v>
      </c>
      <c r="D194" s="41" t="s">
        <v>36</v>
      </c>
      <c r="L194" s="41" t="s">
        <v>56</v>
      </c>
      <c r="U194" s="41" t="s">
        <v>37</v>
      </c>
      <c r="V194" s="41" t="s">
        <v>99</v>
      </c>
      <c r="W194" s="41">
        <v>0.125</v>
      </c>
      <c r="X194" s="41" t="s">
        <v>100</v>
      </c>
      <c r="AE194" s="41">
        <f>100-W194</f>
        <v>99.875</v>
      </c>
    </row>
    <row r="195" spans="1:31" ht="15" customHeight="1">
      <c r="A195" s="27">
        <v>22</v>
      </c>
      <c r="B195" s="27">
        <v>2</v>
      </c>
      <c r="C195" s="19" t="s">
        <v>31</v>
      </c>
      <c r="D195" s="27" t="s">
        <v>36</v>
      </c>
      <c r="L195" s="27" t="s">
        <v>56</v>
      </c>
      <c r="U195" s="27" t="s">
        <v>37</v>
      </c>
      <c r="V195" s="27" t="s">
        <v>99</v>
      </c>
      <c r="W195" s="27">
        <v>6.25E-2</v>
      </c>
      <c r="X195" s="27" t="s">
        <v>100</v>
      </c>
      <c r="AE195" s="27">
        <f>100-W195</f>
        <v>99.9375</v>
      </c>
    </row>
    <row r="196" spans="1:31" ht="15" customHeight="1">
      <c r="A196" s="27">
        <v>22</v>
      </c>
      <c r="B196" s="27">
        <v>3</v>
      </c>
      <c r="C196" s="19" t="s">
        <v>31</v>
      </c>
      <c r="D196" s="27" t="s">
        <v>36</v>
      </c>
      <c r="L196" s="27" t="s">
        <v>56</v>
      </c>
      <c r="U196" s="27" t="s">
        <v>37</v>
      </c>
      <c r="V196" s="27" t="s">
        <v>99</v>
      </c>
      <c r="W196" s="27">
        <v>3.1300000000000001E-2</v>
      </c>
      <c r="X196" s="27" t="s">
        <v>100</v>
      </c>
      <c r="AE196" s="27">
        <f>100-W196</f>
        <v>99.968699999999998</v>
      </c>
    </row>
    <row r="197" spans="1:31" ht="15" customHeight="1">
      <c r="A197" s="27">
        <v>22</v>
      </c>
      <c r="B197" s="27">
        <v>4</v>
      </c>
      <c r="C197" s="19" t="s">
        <v>31</v>
      </c>
      <c r="D197" s="27" t="s">
        <v>36</v>
      </c>
      <c r="L197" s="27" t="s">
        <v>56</v>
      </c>
      <c r="U197" s="27" t="s">
        <v>37</v>
      </c>
      <c r="V197" s="27" t="s">
        <v>99</v>
      </c>
      <c r="W197" s="27">
        <v>1.5599999999999999E-2</v>
      </c>
      <c r="X197" s="27" t="s">
        <v>100</v>
      </c>
      <c r="AE197" s="27">
        <f>100-W197</f>
        <v>99.984399999999994</v>
      </c>
    </row>
    <row r="198" spans="1:31" ht="15" customHeight="1">
      <c r="A198" s="27">
        <v>22</v>
      </c>
      <c r="B198" s="27">
        <v>5</v>
      </c>
      <c r="C198" s="19" t="s">
        <v>31</v>
      </c>
      <c r="D198" s="27" t="s">
        <v>36</v>
      </c>
      <c r="L198" s="27" t="s">
        <v>56</v>
      </c>
      <c r="U198" s="27" t="s">
        <v>37</v>
      </c>
      <c r="V198" s="27" t="s">
        <v>99</v>
      </c>
      <c r="W198" s="27">
        <v>7.7999999999999996E-3</v>
      </c>
      <c r="X198" s="27" t="s">
        <v>100</v>
      </c>
      <c r="AE198" s="27">
        <f>100-W198</f>
        <v>99.992199999999997</v>
      </c>
    </row>
    <row r="199" spans="1:31" ht="15" customHeight="1">
      <c r="A199" s="27">
        <v>22</v>
      </c>
      <c r="B199" s="27">
        <v>6</v>
      </c>
      <c r="C199" s="19" t="s">
        <v>31</v>
      </c>
      <c r="D199" s="27" t="s">
        <v>36</v>
      </c>
      <c r="L199" s="27" t="s">
        <v>56</v>
      </c>
      <c r="U199" s="27" t="s">
        <v>37</v>
      </c>
      <c r="V199" s="27" t="s">
        <v>99</v>
      </c>
      <c r="W199" s="27">
        <v>3.8999999999999998E-3</v>
      </c>
      <c r="X199" s="27" t="s">
        <v>100</v>
      </c>
      <c r="AE199" s="27">
        <f>100-W199</f>
        <v>99.996099999999998</v>
      </c>
    </row>
    <row r="200" spans="1:31" ht="15" customHeight="1">
      <c r="A200" s="27">
        <v>22</v>
      </c>
      <c r="B200" s="27">
        <v>7</v>
      </c>
      <c r="C200" s="19" t="s">
        <v>31</v>
      </c>
      <c r="D200" s="27" t="s">
        <v>36</v>
      </c>
      <c r="L200" s="27" t="s">
        <v>56</v>
      </c>
      <c r="U200" s="27" t="s">
        <v>37</v>
      </c>
      <c r="V200" s="27" t="s">
        <v>99</v>
      </c>
      <c r="W200" s="27">
        <v>2E-3</v>
      </c>
      <c r="X200" s="27" t="s">
        <v>100</v>
      </c>
      <c r="AE200" s="27">
        <f>100-W200</f>
        <v>99.998000000000005</v>
      </c>
    </row>
    <row r="201" spans="1:31" ht="15" customHeight="1">
      <c r="A201" s="27">
        <v>22</v>
      </c>
      <c r="B201" s="27">
        <v>8</v>
      </c>
      <c r="C201" s="19" t="s">
        <v>31</v>
      </c>
      <c r="D201" s="27" t="s">
        <v>36</v>
      </c>
      <c r="L201" s="27" t="s">
        <v>56</v>
      </c>
      <c r="U201" s="27" t="s">
        <v>37</v>
      </c>
      <c r="V201" s="27" t="s">
        <v>99</v>
      </c>
      <c r="W201" s="27">
        <v>1E-3</v>
      </c>
      <c r="X201" s="27" t="s">
        <v>100</v>
      </c>
      <c r="AE201" s="27">
        <f>100-W201</f>
        <v>99.998999999999995</v>
      </c>
    </row>
    <row r="202" spans="1:31" ht="15" customHeight="1">
      <c r="A202" s="27">
        <v>22</v>
      </c>
      <c r="B202" s="27">
        <v>9</v>
      </c>
      <c r="C202" s="19" t="s">
        <v>31</v>
      </c>
      <c r="D202" s="27" t="s">
        <v>36</v>
      </c>
      <c r="L202" s="27" t="s">
        <v>56</v>
      </c>
      <c r="U202" s="27" t="s">
        <v>37</v>
      </c>
      <c r="V202" s="27" t="s">
        <v>99</v>
      </c>
      <c r="W202" s="27">
        <v>5.0000000000000001E-4</v>
      </c>
      <c r="X202" s="27" t="s">
        <v>100</v>
      </c>
      <c r="AE202" s="27">
        <f>100-W202</f>
        <v>99.999499999999998</v>
      </c>
    </row>
    <row r="203" spans="1:31" ht="15" customHeight="1">
      <c r="A203" s="27">
        <v>22</v>
      </c>
      <c r="B203" s="27">
        <v>10</v>
      </c>
      <c r="C203" s="19" t="s">
        <v>31</v>
      </c>
      <c r="D203" s="27" t="s">
        <v>36</v>
      </c>
      <c r="L203" s="27" t="s">
        <v>56</v>
      </c>
      <c r="U203" s="27" t="s">
        <v>37</v>
      </c>
      <c r="V203" s="27" t="s">
        <v>99</v>
      </c>
      <c r="W203" s="27">
        <v>0.125</v>
      </c>
      <c r="X203" s="27" t="s">
        <v>100</v>
      </c>
      <c r="AE203" s="27">
        <f>100-W203</f>
        <v>99.875</v>
      </c>
    </row>
    <row r="204" spans="1:31" ht="15" customHeight="1">
      <c r="A204" s="27">
        <v>22</v>
      </c>
      <c r="B204" s="27">
        <v>11</v>
      </c>
      <c r="C204" s="19" t="s">
        <v>31</v>
      </c>
      <c r="D204" s="27" t="s">
        <v>36</v>
      </c>
      <c r="L204" s="27" t="s">
        <v>56</v>
      </c>
      <c r="U204" s="27" t="s">
        <v>37</v>
      </c>
      <c r="V204" s="27" t="s">
        <v>99</v>
      </c>
      <c r="W204" s="27">
        <v>6.25E-2</v>
      </c>
      <c r="X204" s="27" t="s">
        <v>100</v>
      </c>
      <c r="AE204" s="27">
        <f>100-W204</f>
        <v>99.9375</v>
      </c>
    </row>
    <row r="205" spans="1:31" ht="15" customHeight="1">
      <c r="A205" s="27">
        <v>22</v>
      </c>
      <c r="B205" s="27">
        <v>12</v>
      </c>
      <c r="C205" s="19" t="s">
        <v>31</v>
      </c>
      <c r="D205" s="27" t="s">
        <v>36</v>
      </c>
      <c r="L205" s="27" t="s">
        <v>56</v>
      </c>
      <c r="U205" s="27" t="s">
        <v>37</v>
      </c>
      <c r="V205" s="27" t="s">
        <v>99</v>
      </c>
      <c r="W205" s="27">
        <v>3.1300000000000001E-2</v>
      </c>
      <c r="X205" s="27" t="s">
        <v>100</v>
      </c>
      <c r="AE205" s="27">
        <f>100-W205</f>
        <v>99.968699999999998</v>
      </c>
    </row>
    <row r="206" spans="1:31" ht="15" customHeight="1">
      <c r="A206" s="27">
        <v>22</v>
      </c>
      <c r="B206" s="27">
        <v>13</v>
      </c>
      <c r="C206" s="19" t="s">
        <v>31</v>
      </c>
      <c r="D206" s="27" t="s">
        <v>36</v>
      </c>
      <c r="L206" s="27" t="s">
        <v>56</v>
      </c>
      <c r="U206" s="27" t="s">
        <v>37</v>
      </c>
      <c r="V206" s="27" t="s">
        <v>99</v>
      </c>
      <c r="W206" s="27">
        <v>1.5599999999999999E-2</v>
      </c>
      <c r="X206" s="27" t="s">
        <v>100</v>
      </c>
      <c r="AE206" s="27">
        <f>100-W206</f>
        <v>99.984399999999994</v>
      </c>
    </row>
    <row r="207" spans="1:31" ht="15" customHeight="1">
      <c r="A207" s="27">
        <v>22</v>
      </c>
      <c r="B207" s="27">
        <v>14</v>
      </c>
      <c r="C207" s="19" t="s">
        <v>31</v>
      </c>
      <c r="D207" s="27" t="s">
        <v>36</v>
      </c>
      <c r="L207" s="27" t="s">
        <v>56</v>
      </c>
      <c r="U207" s="27" t="s">
        <v>37</v>
      </c>
      <c r="V207" s="27" t="s">
        <v>99</v>
      </c>
      <c r="W207" s="27">
        <v>7.7999999999999996E-3</v>
      </c>
      <c r="X207" s="27" t="s">
        <v>100</v>
      </c>
      <c r="AE207" s="27">
        <f>100-W207</f>
        <v>99.992199999999997</v>
      </c>
    </row>
    <row r="208" spans="1:31" ht="15" customHeight="1">
      <c r="A208" s="27">
        <v>22</v>
      </c>
      <c r="B208" s="27">
        <v>15</v>
      </c>
      <c r="C208" s="19" t="s">
        <v>31</v>
      </c>
      <c r="D208" s="27" t="s">
        <v>36</v>
      </c>
      <c r="L208" s="27" t="s">
        <v>56</v>
      </c>
      <c r="U208" s="27" t="s">
        <v>37</v>
      </c>
      <c r="V208" s="27" t="s">
        <v>99</v>
      </c>
      <c r="W208" s="27">
        <v>3.8999999999999998E-3</v>
      </c>
      <c r="X208" s="27" t="s">
        <v>100</v>
      </c>
      <c r="AE208" s="27">
        <f>100-W208</f>
        <v>99.996099999999998</v>
      </c>
    </row>
    <row r="209" spans="1:31" ht="15" customHeight="1">
      <c r="A209" s="27">
        <v>22</v>
      </c>
      <c r="B209" s="27">
        <v>16</v>
      </c>
      <c r="C209" s="19" t="s">
        <v>31</v>
      </c>
      <c r="D209" s="27" t="s">
        <v>36</v>
      </c>
      <c r="L209" s="27" t="s">
        <v>56</v>
      </c>
      <c r="U209" s="27" t="s">
        <v>37</v>
      </c>
      <c r="V209" s="27" t="s">
        <v>99</v>
      </c>
      <c r="W209" s="27">
        <v>2E-3</v>
      </c>
      <c r="X209" s="27" t="s">
        <v>100</v>
      </c>
      <c r="AE209" s="27">
        <f>100-W209</f>
        <v>99.998000000000005</v>
      </c>
    </row>
    <row r="210" spans="1:31" ht="15" customHeight="1">
      <c r="A210" s="27">
        <v>22</v>
      </c>
      <c r="B210" s="27">
        <v>17</v>
      </c>
      <c r="C210" s="19" t="s">
        <v>31</v>
      </c>
      <c r="D210" s="27" t="s">
        <v>36</v>
      </c>
      <c r="L210" s="27" t="s">
        <v>56</v>
      </c>
      <c r="U210" s="27" t="s">
        <v>37</v>
      </c>
      <c r="V210" s="27" t="s">
        <v>99</v>
      </c>
      <c r="W210" s="27">
        <v>1E-3</v>
      </c>
      <c r="X210" s="27" t="s">
        <v>100</v>
      </c>
      <c r="AE210" s="27">
        <f>100-W210</f>
        <v>99.998999999999995</v>
      </c>
    </row>
    <row r="211" spans="1:31" ht="15" customHeight="1">
      <c r="A211" s="27">
        <v>22</v>
      </c>
      <c r="B211" s="27">
        <v>18</v>
      </c>
      <c r="C211" s="19" t="s">
        <v>31</v>
      </c>
      <c r="D211" s="27" t="s">
        <v>36</v>
      </c>
      <c r="L211" s="27" t="s">
        <v>56</v>
      </c>
      <c r="U211" s="27" t="s">
        <v>37</v>
      </c>
      <c r="V211" s="27" t="s">
        <v>99</v>
      </c>
      <c r="W211" s="27">
        <v>5.0000000000000001E-4</v>
      </c>
      <c r="X211" s="27" t="s">
        <v>100</v>
      </c>
      <c r="AE211" s="27">
        <f>100-W211</f>
        <v>99.999499999999998</v>
      </c>
    </row>
    <row r="212" spans="1:31" s="41" customFormat="1" ht="15" customHeight="1">
      <c r="A212" s="41">
        <v>23</v>
      </c>
      <c r="B212" s="41">
        <v>1</v>
      </c>
      <c r="C212" s="18" t="s">
        <v>31</v>
      </c>
      <c r="D212" s="41" t="s">
        <v>36</v>
      </c>
      <c r="E212" s="41">
        <v>88</v>
      </c>
      <c r="F212" s="41">
        <v>12</v>
      </c>
      <c r="G212" s="41">
        <v>240000</v>
      </c>
      <c r="H212" s="41" t="s">
        <v>32</v>
      </c>
      <c r="L212" s="41" t="s">
        <v>56</v>
      </c>
      <c r="Q212" s="41">
        <v>237.3</v>
      </c>
      <c r="R212" s="41" t="s">
        <v>57</v>
      </c>
      <c r="U212" s="41" t="s">
        <v>37</v>
      </c>
      <c r="V212" s="41" t="s">
        <v>54</v>
      </c>
      <c r="W212" s="41">
        <v>90</v>
      </c>
      <c r="X212" s="41" t="s">
        <v>69</v>
      </c>
      <c r="AE212" s="41">
        <v>10</v>
      </c>
    </row>
    <row r="213" spans="1:31" ht="15" customHeight="1">
      <c r="A213" s="27">
        <v>23</v>
      </c>
      <c r="B213" s="27">
        <v>2</v>
      </c>
      <c r="C213" s="19" t="s">
        <v>31</v>
      </c>
      <c r="D213" s="27" t="s">
        <v>36</v>
      </c>
      <c r="E213" s="27">
        <v>88</v>
      </c>
      <c r="F213" s="27">
        <v>12</v>
      </c>
      <c r="G213" s="27">
        <v>240000</v>
      </c>
      <c r="H213" s="27" t="s">
        <v>32</v>
      </c>
      <c r="L213" s="27" t="s">
        <v>56</v>
      </c>
      <c r="Q213" s="27">
        <v>237.3</v>
      </c>
      <c r="R213" s="27" t="s">
        <v>57</v>
      </c>
      <c r="U213" s="27" t="s">
        <v>37</v>
      </c>
      <c r="V213" s="27" t="s">
        <v>54</v>
      </c>
      <c r="W213" s="27">
        <v>90</v>
      </c>
      <c r="X213" s="27" t="s">
        <v>69</v>
      </c>
      <c r="AE213" s="27">
        <v>10</v>
      </c>
    </row>
    <row r="214" spans="1:31" ht="15" customHeight="1">
      <c r="A214" s="27">
        <v>23</v>
      </c>
      <c r="B214" s="27">
        <v>3</v>
      </c>
      <c r="C214" s="19" t="s">
        <v>31</v>
      </c>
      <c r="D214" s="27" t="s">
        <v>36</v>
      </c>
      <c r="E214" s="27">
        <v>88</v>
      </c>
      <c r="F214" s="27">
        <v>12</v>
      </c>
      <c r="G214" s="27">
        <v>240000</v>
      </c>
      <c r="H214" s="27" t="s">
        <v>32</v>
      </c>
      <c r="L214" s="27" t="s">
        <v>56</v>
      </c>
      <c r="Q214" s="27">
        <v>237.3</v>
      </c>
      <c r="R214" s="27" t="s">
        <v>57</v>
      </c>
      <c r="U214" s="27" t="s">
        <v>37</v>
      </c>
      <c r="V214" s="27" t="s">
        <v>54</v>
      </c>
      <c r="W214" s="27">
        <v>89.11</v>
      </c>
      <c r="X214" s="27" t="s">
        <v>69</v>
      </c>
      <c r="Y214" s="27" t="s">
        <v>101</v>
      </c>
      <c r="Z214" s="27">
        <v>0.99</v>
      </c>
      <c r="AE214" s="27">
        <v>9.9</v>
      </c>
    </row>
    <row r="215" spans="1:31" ht="15" customHeight="1">
      <c r="A215" s="27">
        <v>23</v>
      </c>
      <c r="B215" s="27">
        <v>4</v>
      </c>
      <c r="C215" s="19" t="s">
        <v>31</v>
      </c>
      <c r="D215" s="27" t="s">
        <v>36</v>
      </c>
      <c r="E215" s="27">
        <v>88</v>
      </c>
      <c r="F215" s="27">
        <v>12</v>
      </c>
      <c r="G215" s="27">
        <v>240000</v>
      </c>
      <c r="H215" s="27" t="s">
        <v>32</v>
      </c>
      <c r="L215" s="27" t="s">
        <v>56</v>
      </c>
      <c r="Q215" s="27">
        <v>237.3</v>
      </c>
      <c r="R215" s="27" t="s">
        <v>57</v>
      </c>
      <c r="U215" s="27" t="s">
        <v>37</v>
      </c>
      <c r="V215" s="27" t="s">
        <v>54</v>
      </c>
      <c r="W215" s="27">
        <v>89.11</v>
      </c>
      <c r="X215" s="27" t="s">
        <v>69</v>
      </c>
      <c r="Y215" s="27" t="s">
        <v>101</v>
      </c>
      <c r="Z215" s="27">
        <v>0.99</v>
      </c>
      <c r="AE215" s="27">
        <v>9.9</v>
      </c>
    </row>
    <row r="216" spans="1:31" s="41" customFormat="1" ht="15" customHeight="1">
      <c r="A216" s="41">
        <v>24</v>
      </c>
      <c r="B216" s="41">
        <v>1</v>
      </c>
      <c r="C216" s="18" t="s">
        <v>31</v>
      </c>
      <c r="D216" s="41" t="s">
        <v>36</v>
      </c>
      <c r="E216" s="41">
        <v>94</v>
      </c>
      <c r="F216" s="41">
        <v>6</v>
      </c>
      <c r="G216" s="18">
        <v>14080</v>
      </c>
      <c r="H216" s="41" t="s">
        <v>32</v>
      </c>
      <c r="I216" s="41">
        <v>10143</v>
      </c>
      <c r="K216" s="41">
        <v>4.4260000000000002</v>
      </c>
      <c r="L216" s="41" t="s">
        <v>56</v>
      </c>
      <c r="Q216" s="41">
        <v>183</v>
      </c>
      <c r="R216" s="41" t="s">
        <v>57</v>
      </c>
      <c r="U216" s="41" t="s">
        <v>35</v>
      </c>
      <c r="AE216" s="41">
        <v>100</v>
      </c>
    </row>
    <row r="217" spans="1:31" ht="15" customHeight="1">
      <c r="A217" s="27">
        <v>24</v>
      </c>
      <c r="B217" s="27">
        <v>2</v>
      </c>
      <c r="C217" s="19" t="s">
        <v>31</v>
      </c>
      <c r="D217" s="27" t="s">
        <v>36</v>
      </c>
      <c r="E217" s="27">
        <v>94</v>
      </c>
      <c r="F217" s="27">
        <v>6</v>
      </c>
      <c r="G217" s="19">
        <v>14080</v>
      </c>
      <c r="H217" s="27" t="s">
        <v>32</v>
      </c>
      <c r="I217" s="27">
        <v>10143</v>
      </c>
      <c r="K217" s="27">
        <v>4.4260000000000002</v>
      </c>
      <c r="L217" s="27" t="s">
        <v>56</v>
      </c>
      <c r="Q217" s="27">
        <v>183</v>
      </c>
      <c r="R217" s="27" t="s">
        <v>57</v>
      </c>
      <c r="U217" s="27" t="s">
        <v>35</v>
      </c>
      <c r="AE217" s="27">
        <v>100</v>
      </c>
    </row>
    <row r="218" spans="1:31" ht="15" customHeight="1">
      <c r="A218" s="27">
        <v>24</v>
      </c>
      <c r="B218" s="27">
        <v>3</v>
      </c>
      <c r="C218" s="19" t="s">
        <v>31</v>
      </c>
      <c r="D218" s="27" t="s">
        <v>36</v>
      </c>
      <c r="E218" s="27">
        <v>94</v>
      </c>
      <c r="F218" s="27">
        <v>6</v>
      </c>
      <c r="G218" s="19">
        <v>14080</v>
      </c>
      <c r="H218" s="27" t="s">
        <v>32</v>
      </c>
      <c r="I218" s="27">
        <v>10143</v>
      </c>
      <c r="K218" s="27">
        <v>4.4260000000000002</v>
      </c>
      <c r="L218" s="27" t="s">
        <v>56</v>
      </c>
      <c r="Q218" s="27">
        <v>183</v>
      </c>
      <c r="R218" s="27" t="s">
        <v>57</v>
      </c>
      <c r="U218" s="27" t="s">
        <v>35</v>
      </c>
      <c r="AE218" s="27">
        <v>100</v>
      </c>
    </row>
    <row r="219" spans="1:31" ht="15" customHeight="1">
      <c r="A219" s="27">
        <v>24</v>
      </c>
      <c r="B219" s="27">
        <v>4</v>
      </c>
      <c r="C219" s="19" t="s">
        <v>31</v>
      </c>
      <c r="D219" s="27" t="s">
        <v>36</v>
      </c>
      <c r="E219" s="27">
        <v>94</v>
      </c>
      <c r="F219" s="27">
        <v>6</v>
      </c>
      <c r="G219" s="19">
        <v>14080</v>
      </c>
      <c r="H219" s="27" t="s">
        <v>32</v>
      </c>
      <c r="I219" s="27">
        <v>10143</v>
      </c>
      <c r="K219" s="27">
        <v>4.4260000000000002</v>
      </c>
      <c r="L219" s="27" t="s">
        <v>56</v>
      </c>
      <c r="Q219" s="27">
        <v>183</v>
      </c>
      <c r="R219" s="27" t="s">
        <v>57</v>
      </c>
      <c r="U219" s="27" t="s">
        <v>35</v>
      </c>
      <c r="AE219" s="27">
        <v>100</v>
      </c>
    </row>
    <row r="220" spans="1:31" s="41" customFormat="1" ht="15" customHeight="1">
      <c r="A220" s="18">
        <v>25</v>
      </c>
      <c r="B220" s="18">
        <v>1</v>
      </c>
      <c r="C220" s="18" t="s">
        <v>31</v>
      </c>
      <c r="D220" s="41" t="s">
        <v>36</v>
      </c>
      <c r="E220" s="41">
        <v>89</v>
      </c>
      <c r="F220" s="41">
        <v>11</v>
      </c>
      <c r="L220" s="41" t="s">
        <v>102</v>
      </c>
      <c r="Q220" s="41">
        <v>166</v>
      </c>
      <c r="R220" s="41" t="s">
        <v>57</v>
      </c>
      <c r="U220" s="41" t="s">
        <v>37</v>
      </c>
      <c r="V220" s="41" t="s">
        <v>54</v>
      </c>
      <c r="W220" s="41">
        <v>61.3</v>
      </c>
      <c r="X220" s="41" t="s">
        <v>69</v>
      </c>
      <c r="AE220" s="41">
        <v>38.700000000000003</v>
      </c>
    </row>
    <row r="221" spans="1:31" ht="15" customHeight="1">
      <c r="A221" s="19">
        <v>25</v>
      </c>
      <c r="B221" s="19">
        <v>2</v>
      </c>
      <c r="C221" s="19" t="s">
        <v>31</v>
      </c>
      <c r="D221" s="27" t="s">
        <v>36</v>
      </c>
      <c r="E221" s="27">
        <v>89</v>
      </c>
      <c r="F221" s="27">
        <v>11</v>
      </c>
      <c r="L221" s="27" t="s">
        <v>102</v>
      </c>
      <c r="Q221" s="27">
        <v>166</v>
      </c>
      <c r="R221" s="27" t="s">
        <v>57</v>
      </c>
      <c r="U221" s="27" t="s">
        <v>37</v>
      </c>
      <c r="V221" s="27" t="s">
        <v>54</v>
      </c>
      <c r="W221" s="27">
        <v>61.3</v>
      </c>
      <c r="X221" s="27" t="s">
        <v>69</v>
      </c>
      <c r="AE221" s="27">
        <v>38.700000000000003</v>
      </c>
    </row>
    <row r="222" spans="1:31" ht="15" customHeight="1">
      <c r="A222" s="19">
        <v>25</v>
      </c>
      <c r="B222" s="19">
        <v>3</v>
      </c>
      <c r="C222" s="19" t="s">
        <v>31</v>
      </c>
      <c r="D222" s="27" t="s">
        <v>36</v>
      </c>
      <c r="E222" s="27">
        <v>89</v>
      </c>
      <c r="F222" s="27">
        <v>11</v>
      </c>
      <c r="L222" s="27" t="s">
        <v>102</v>
      </c>
      <c r="Q222" s="27">
        <v>426</v>
      </c>
      <c r="R222" s="27" t="s">
        <v>57</v>
      </c>
      <c r="U222" s="27" t="s">
        <v>37</v>
      </c>
      <c r="V222" s="27" t="s">
        <v>54</v>
      </c>
      <c r="W222" s="27">
        <v>61.3</v>
      </c>
      <c r="X222" s="27" t="s">
        <v>69</v>
      </c>
      <c r="AE222" s="27">
        <v>38.700000000000003</v>
      </c>
    </row>
    <row r="223" spans="1:31" ht="15" customHeight="1">
      <c r="A223" s="19">
        <v>25</v>
      </c>
      <c r="B223" s="19">
        <v>4</v>
      </c>
      <c r="C223" s="19" t="s">
        <v>31</v>
      </c>
      <c r="D223" s="27" t="s">
        <v>36</v>
      </c>
      <c r="E223" s="27">
        <v>89</v>
      </c>
      <c r="F223" s="27">
        <v>11</v>
      </c>
      <c r="L223" s="27" t="s">
        <v>102</v>
      </c>
      <c r="Q223" s="27">
        <v>426</v>
      </c>
      <c r="R223" s="27" t="s">
        <v>57</v>
      </c>
      <c r="U223" s="27" t="s">
        <v>37</v>
      </c>
      <c r="V223" s="27" t="s">
        <v>54</v>
      </c>
      <c r="W223" s="27">
        <v>61.3</v>
      </c>
      <c r="X223" s="27" t="s">
        <v>69</v>
      </c>
      <c r="AE223" s="27">
        <v>38.700000000000003</v>
      </c>
    </row>
    <row r="224" spans="1:31" ht="15" customHeight="1">
      <c r="A224" s="19">
        <v>25</v>
      </c>
      <c r="B224" s="19">
        <v>5</v>
      </c>
      <c r="C224" s="19" t="s">
        <v>31</v>
      </c>
      <c r="D224" s="27" t="s">
        <v>36</v>
      </c>
      <c r="E224" s="27">
        <v>89</v>
      </c>
      <c r="F224" s="27">
        <v>11</v>
      </c>
      <c r="L224" s="27" t="s">
        <v>102</v>
      </c>
      <c r="Q224" s="27">
        <v>1900</v>
      </c>
      <c r="R224" s="27" t="s">
        <v>57</v>
      </c>
      <c r="U224" s="27" t="s">
        <v>37</v>
      </c>
      <c r="V224" s="27" t="s">
        <v>54</v>
      </c>
      <c r="W224" s="27">
        <v>61.3</v>
      </c>
      <c r="X224" s="27" t="s">
        <v>69</v>
      </c>
      <c r="AE224" s="27">
        <v>38.700000000000003</v>
      </c>
    </row>
    <row r="225" spans="1:31" ht="15" customHeight="1">
      <c r="A225" s="19">
        <v>25</v>
      </c>
      <c r="B225" s="19">
        <v>6</v>
      </c>
      <c r="C225" s="19" t="s">
        <v>31</v>
      </c>
      <c r="D225" s="27" t="s">
        <v>36</v>
      </c>
      <c r="E225" s="27">
        <v>89</v>
      </c>
      <c r="F225" s="27">
        <v>11</v>
      </c>
      <c r="L225" s="27" t="s">
        <v>102</v>
      </c>
      <c r="Q225" s="27">
        <v>1900</v>
      </c>
      <c r="R225" s="27" t="s">
        <v>57</v>
      </c>
      <c r="U225" s="27" t="s">
        <v>37</v>
      </c>
      <c r="V225" s="27" t="s">
        <v>54</v>
      </c>
      <c r="W225" s="27">
        <v>61.3</v>
      </c>
      <c r="X225" s="27" t="s">
        <v>69</v>
      </c>
      <c r="AE225" s="27">
        <v>38.700000000000003</v>
      </c>
    </row>
    <row r="226" spans="1:31" s="41" customFormat="1" ht="15" customHeight="1">
      <c r="A226" s="41">
        <v>26</v>
      </c>
      <c r="B226" s="41">
        <v>1</v>
      </c>
      <c r="C226" s="18" t="s">
        <v>31</v>
      </c>
      <c r="E226" s="41">
        <v>100</v>
      </c>
      <c r="I226" s="41">
        <v>59400</v>
      </c>
      <c r="J226" s="41" t="s">
        <v>32</v>
      </c>
      <c r="L226" s="41" t="s">
        <v>103</v>
      </c>
      <c r="U226" s="41" t="s">
        <v>37</v>
      </c>
      <c r="V226" s="18" t="s">
        <v>104</v>
      </c>
      <c r="W226" s="41">
        <v>27</v>
      </c>
      <c r="X226" s="41" t="s">
        <v>105</v>
      </c>
      <c r="Y226" s="18" t="s">
        <v>106</v>
      </c>
      <c r="Z226" s="41">
        <v>44</v>
      </c>
      <c r="AA226" s="41" t="s">
        <v>107</v>
      </c>
      <c r="AB226" s="41" t="s">
        <v>108</v>
      </c>
      <c r="AC226" s="41">
        <v>23</v>
      </c>
      <c r="AD226" s="41" t="s">
        <v>109</v>
      </c>
      <c r="AE226" s="41">
        <v>6</v>
      </c>
    </row>
    <row r="227" spans="1:31" ht="15" customHeight="1">
      <c r="A227" s="27">
        <v>26</v>
      </c>
      <c r="B227" s="27">
        <v>2</v>
      </c>
      <c r="C227" s="19" t="s">
        <v>31</v>
      </c>
      <c r="E227" s="27">
        <v>100</v>
      </c>
      <c r="I227" s="27">
        <v>59400</v>
      </c>
      <c r="J227" s="27" t="s">
        <v>32</v>
      </c>
      <c r="L227" s="27" t="s">
        <v>110</v>
      </c>
      <c r="U227" s="27" t="s">
        <v>37</v>
      </c>
      <c r="V227" s="19" t="s">
        <v>104</v>
      </c>
      <c r="W227" s="27">
        <v>27</v>
      </c>
      <c r="X227" s="27" t="s">
        <v>105</v>
      </c>
      <c r="Y227" s="19" t="s">
        <v>106</v>
      </c>
      <c r="Z227" s="27">
        <v>44</v>
      </c>
      <c r="AA227" s="27" t="s">
        <v>107</v>
      </c>
      <c r="AB227" s="27" t="s">
        <v>108</v>
      </c>
      <c r="AC227" s="27">
        <v>23</v>
      </c>
      <c r="AD227" s="27" t="s">
        <v>109</v>
      </c>
      <c r="AE227" s="27">
        <v>6</v>
      </c>
    </row>
    <row r="228" spans="1:31" ht="15" customHeight="1">
      <c r="A228" s="27">
        <v>26</v>
      </c>
      <c r="B228" s="27">
        <v>3</v>
      </c>
      <c r="C228" s="19" t="s">
        <v>31</v>
      </c>
      <c r="E228" s="27">
        <v>100</v>
      </c>
      <c r="I228" s="27">
        <v>59400</v>
      </c>
      <c r="J228" s="27" t="s">
        <v>32</v>
      </c>
      <c r="L228" s="27" t="s">
        <v>110</v>
      </c>
      <c r="U228" s="27" t="s">
        <v>37</v>
      </c>
      <c r="V228" s="19" t="s">
        <v>104</v>
      </c>
      <c r="W228" s="27">
        <v>27</v>
      </c>
      <c r="X228" s="27" t="s">
        <v>105</v>
      </c>
      <c r="Y228" s="19" t="s">
        <v>106</v>
      </c>
      <c r="Z228" s="27">
        <v>44</v>
      </c>
      <c r="AA228" s="27" t="s">
        <v>107</v>
      </c>
      <c r="AB228" s="27" t="s">
        <v>108</v>
      </c>
      <c r="AC228" s="27">
        <v>23</v>
      </c>
      <c r="AD228" s="27" t="s">
        <v>109</v>
      </c>
      <c r="AE228" s="27">
        <v>6</v>
      </c>
    </row>
    <row r="229" spans="1:31" ht="15" customHeight="1">
      <c r="A229" s="27">
        <v>26</v>
      </c>
      <c r="B229" s="27">
        <v>4</v>
      </c>
      <c r="C229" s="19" t="s">
        <v>31</v>
      </c>
      <c r="E229" s="27">
        <v>100</v>
      </c>
      <c r="I229" s="27">
        <v>59400</v>
      </c>
      <c r="J229" s="27" t="s">
        <v>32</v>
      </c>
      <c r="L229" s="27" t="s">
        <v>110</v>
      </c>
      <c r="U229" s="27" t="s">
        <v>37</v>
      </c>
      <c r="V229" s="19" t="s">
        <v>104</v>
      </c>
      <c r="W229" s="27">
        <v>27</v>
      </c>
      <c r="X229" s="27" t="s">
        <v>105</v>
      </c>
      <c r="Y229" s="19" t="s">
        <v>106</v>
      </c>
      <c r="Z229" s="27">
        <v>44</v>
      </c>
      <c r="AA229" s="27" t="s">
        <v>107</v>
      </c>
      <c r="AB229" s="27" t="s">
        <v>108</v>
      </c>
      <c r="AC229" s="27">
        <v>23</v>
      </c>
      <c r="AD229" s="27" t="s">
        <v>109</v>
      </c>
      <c r="AE229" s="27">
        <v>6</v>
      </c>
    </row>
    <row r="230" spans="1:31" ht="15" customHeight="1">
      <c r="A230" s="27">
        <v>26</v>
      </c>
      <c r="B230" s="27">
        <v>5</v>
      </c>
      <c r="C230" s="19" t="s">
        <v>31</v>
      </c>
      <c r="E230" s="27">
        <v>100</v>
      </c>
      <c r="I230" s="27">
        <v>59400</v>
      </c>
      <c r="J230" s="27" t="s">
        <v>32</v>
      </c>
      <c r="L230" s="27" t="s">
        <v>110</v>
      </c>
      <c r="U230" s="27" t="s">
        <v>37</v>
      </c>
      <c r="V230" s="19" t="s">
        <v>104</v>
      </c>
      <c r="W230" s="27">
        <v>27</v>
      </c>
      <c r="X230" s="27" t="s">
        <v>105</v>
      </c>
      <c r="Y230" s="19" t="s">
        <v>106</v>
      </c>
      <c r="Z230" s="27">
        <v>44</v>
      </c>
      <c r="AA230" s="27" t="s">
        <v>107</v>
      </c>
      <c r="AB230" s="27" t="s">
        <v>108</v>
      </c>
      <c r="AC230" s="27">
        <v>23</v>
      </c>
      <c r="AD230" s="27" t="s">
        <v>109</v>
      </c>
      <c r="AE230" s="27">
        <v>6</v>
      </c>
    </row>
    <row r="231" spans="1:31" ht="15" customHeight="1">
      <c r="A231" s="27">
        <v>26</v>
      </c>
      <c r="B231" s="27">
        <v>6</v>
      </c>
      <c r="C231" s="19" t="s">
        <v>31</v>
      </c>
      <c r="E231" s="27">
        <v>100</v>
      </c>
      <c r="I231" s="27">
        <v>59400</v>
      </c>
      <c r="J231" s="27" t="s">
        <v>32</v>
      </c>
      <c r="L231" s="27" t="s">
        <v>110</v>
      </c>
      <c r="U231" s="27" t="s">
        <v>37</v>
      </c>
      <c r="V231" s="19" t="s">
        <v>104</v>
      </c>
      <c r="W231" s="27">
        <v>27</v>
      </c>
      <c r="X231" s="27" t="s">
        <v>105</v>
      </c>
      <c r="Y231" s="19" t="s">
        <v>106</v>
      </c>
      <c r="Z231" s="27">
        <v>44</v>
      </c>
      <c r="AA231" s="27" t="s">
        <v>107</v>
      </c>
      <c r="AB231" s="27" t="s">
        <v>108</v>
      </c>
      <c r="AC231" s="27">
        <v>23</v>
      </c>
      <c r="AD231" s="27" t="s">
        <v>109</v>
      </c>
      <c r="AE231" s="27">
        <v>6</v>
      </c>
    </row>
    <row r="232" spans="1:31" ht="15" customHeight="1">
      <c r="A232" s="27">
        <v>26</v>
      </c>
      <c r="B232" s="27">
        <v>7</v>
      </c>
      <c r="C232" s="19" t="s">
        <v>31</v>
      </c>
      <c r="E232" s="27">
        <v>100</v>
      </c>
      <c r="I232" s="27">
        <v>59400</v>
      </c>
      <c r="J232" s="27" t="s">
        <v>32</v>
      </c>
      <c r="L232" s="27" t="s">
        <v>110</v>
      </c>
      <c r="U232" s="27" t="s">
        <v>37</v>
      </c>
      <c r="V232" s="19" t="s">
        <v>104</v>
      </c>
      <c r="W232" s="27">
        <v>28</v>
      </c>
      <c r="X232" s="27" t="s">
        <v>105</v>
      </c>
      <c r="Y232" s="19" t="s">
        <v>106</v>
      </c>
      <c r="Z232" s="27">
        <v>41</v>
      </c>
      <c r="AA232" s="27" t="s">
        <v>107</v>
      </c>
      <c r="AB232" s="27" t="s">
        <v>108</v>
      </c>
      <c r="AC232" s="27">
        <v>21</v>
      </c>
      <c r="AD232" s="27" t="s">
        <v>109</v>
      </c>
      <c r="AE232" s="27">
        <v>10</v>
      </c>
    </row>
    <row r="233" spans="1:31" ht="15" customHeight="1">
      <c r="A233" s="27">
        <v>26</v>
      </c>
      <c r="B233" s="27">
        <v>8</v>
      </c>
      <c r="C233" s="19" t="s">
        <v>31</v>
      </c>
      <c r="E233" s="27">
        <v>100</v>
      </c>
      <c r="I233" s="27">
        <v>59400</v>
      </c>
      <c r="J233" s="27" t="s">
        <v>32</v>
      </c>
      <c r="L233" s="27" t="s">
        <v>110</v>
      </c>
      <c r="U233" s="27" t="s">
        <v>37</v>
      </c>
      <c r="V233" s="19" t="s">
        <v>104</v>
      </c>
      <c r="W233" s="27">
        <v>28</v>
      </c>
      <c r="X233" s="27" t="s">
        <v>105</v>
      </c>
      <c r="Y233" s="19" t="s">
        <v>106</v>
      </c>
      <c r="Z233" s="27">
        <v>41</v>
      </c>
      <c r="AA233" s="27" t="s">
        <v>107</v>
      </c>
      <c r="AB233" s="27" t="s">
        <v>108</v>
      </c>
      <c r="AC233" s="27">
        <v>21</v>
      </c>
      <c r="AD233" s="27" t="s">
        <v>109</v>
      </c>
      <c r="AE233" s="27">
        <v>10</v>
      </c>
    </row>
    <row r="234" spans="1:31" ht="15" customHeight="1">
      <c r="A234" s="27">
        <v>26</v>
      </c>
      <c r="B234" s="27">
        <v>9</v>
      </c>
      <c r="C234" s="19" t="s">
        <v>31</v>
      </c>
      <c r="E234" s="27">
        <v>100</v>
      </c>
      <c r="I234" s="27">
        <v>59400</v>
      </c>
      <c r="J234" s="27" t="s">
        <v>32</v>
      </c>
      <c r="L234" s="27" t="s">
        <v>110</v>
      </c>
      <c r="U234" s="27" t="s">
        <v>37</v>
      </c>
      <c r="V234" s="19" t="s">
        <v>104</v>
      </c>
      <c r="W234" s="27">
        <v>28</v>
      </c>
      <c r="X234" s="27" t="s">
        <v>105</v>
      </c>
      <c r="Y234" s="19" t="s">
        <v>106</v>
      </c>
      <c r="Z234" s="27">
        <v>41</v>
      </c>
      <c r="AA234" s="27" t="s">
        <v>107</v>
      </c>
      <c r="AB234" s="27" t="s">
        <v>108</v>
      </c>
      <c r="AC234" s="27">
        <v>21</v>
      </c>
      <c r="AD234" s="27" t="s">
        <v>109</v>
      </c>
      <c r="AE234" s="27">
        <v>10</v>
      </c>
    </row>
    <row r="235" spans="1:31" ht="15" customHeight="1">
      <c r="A235" s="27">
        <v>26</v>
      </c>
      <c r="B235" s="27">
        <v>10</v>
      </c>
      <c r="C235" s="19" t="s">
        <v>31</v>
      </c>
      <c r="E235" s="27">
        <v>100</v>
      </c>
      <c r="I235" s="27">
        <v>59400</v>
      </c>
      <c r="J235" s="27" t="s">
        <v>32</v>
      </c>
      <c r="L235" s="27" t="s">
        <v>110</v>
      </c>
      <c r="U235" s="27" t="s">
        <v>37</v>
      </c>
      <c r="V235" s="19" t="s">
        <v>104</v>
      </c>
      <c r="W235" s="27">
        <v>28</v>
      </c>
      <c r="X235" s="27" t="s">
        <v>105</v>
      </c>
      <c r="Y235" s="19" t="s">
        <v>106</v>
      </c>
      <c r="Z235" s="27">
        <v>41</v>
      </c>
      <c r="AA235" s="27" t="s">
        <v>107</v>
      </c>
      <c r="AB235" s="27" t="s">
        <v>108</v>
      </c>
      <c r="AC235" s="27">
        <v>21</v>
      </c>
      <c r="AD235" s="27" t="s">
        <v>109</v>
      </c>
      <c r="AE235" s="27">
        <v>10</v>
      </c>
    </row>
    <row r="236" spans="1:31" ht="15" customHeight="1">
      <c r="A236" s="27">
        <v>26</v>
      </c>
      <c r="B236" s="27">
        <v>11</v>
      </c>
      <c r="C236" s="19" t="s">
        <v>31</v>
      </c>
      <c r="E236" s="27">
        <v>100</v>
      </c>
      <c r="I236" s="27">
        <v>59400</v>
      </c>
      <c r="J236" s="27" t="s">
        <v>32</v>
      </c>
      <c r="L236" s="27" t="s">
        <v>110</v>
      </c>
      <c r="U236" s="27" t="s">
        <v>37</v>
      </c>
      <c r="V236" s="19" t="s">
        <v>104</v>
      </c>
      <c r="W236" s="27">
        <v>28</v>
      </c>
      <c r="X236" s="27" t="s">
        <v>105</v>
      </c>
      <c r="Y236" s="19" t="s">
        <v>106</v>
      </c>
      <c r="Z236" s="27">
        <v>41</v>
      </c>
      <c r="AA236" s="27" t="s">
        <v>107</v>
      </c>
      <c r="AB236" s="27" t="s">
        <v>108</v>
      </c>
      <c r="AC236" s="27">
        <v>21</v>
      </c>
      <c r="AD236" s="27" t="s">
        <v>109</v>
      </c>
      <c r="AE236" s="27">
        <v>10</v>
      </c>
    </row>
    <row r="237" spans="1:31" ht="15" customHeight="1">
      <c r="A237" s="27">
        <v>26</v>
      </c>
      <c r="B237" s="27">
        <v>12</v>
      </c>
      <c r="C237" s="19" t="s">
        <v>31</v>
      </c>
      <c r="E237" s="27">
        <v>100</v>
      </c>
      <c r="I237" s="27">
        <v>59400</v>
      </c>
      <c r="J237" s="27" t="s">
        <v>32</v>
      </c>
      <c r="L237" s="27" t="s">
        <v>110</v>
      </c>
      <c r="U237" s="27" t="s">
        <v>37</v>
      </c>
      <c r="V237" s="19" t="s">
        <v>104</v>
      </c>
      <c r="W237" s="27">
        <v>28</v>
      </c>
      <c r="X237" s="27" t="s">
        <v>105</v>
      </c>
      <c r="Y237" s="19" t="s">
        <v>106</v>
      </c>
      <c r="Z237" s="27">
        <v>41</v>
      </c>
      <c r="AA237" s="27" t="s">
        <v>107</v>
      </c>
      <c r="AB237" s="27" t="s">
        <v>108</v>
      </c>
      <c r="AC237" s="27">
        <v>21</v>
      </c>
      <c r="AD237" s="27" t="s">
        <v>109</v>
      </c>
      <c r="AE237" s="27">
        <v>10</v>
      </c>
    </row>
    <row r="238" spans="1:31" ht="15" customHeight="1">
      <c r="A238" s="27">
        <v>26</v>
      </c>
      <c r="B238" s="27">
        <v>13</v>
      </c>
      <c r="C238" s="19" t="s">
        <v>31</v>
      </c>
      <c r="E238" s="27">
        <v>100</v>
      </c>
      <c r="I238" s="27">
        <v>59400</v>
      </c>
      <c r="J238" s="27" t="s">
        <v>32</v>
      </c>
      <c r="L238" s="27" t="s">
        <v>110</v>
      </c>
      <c r="U238" s="27" t="s">
        <v>37</v>
      </c>
      <c r="V238" s="19" t="s">
        <v>104</v>
      </c>
      <c r="W238" s="27">
        <v>24</v>
      </c>
      <c r="X238" s="27" t="s">
        <v>105</v>
      </c>
      <c r="Y238" s="19" t="s">
        <v>106</v>
      </c>
      <c r="Z238" s="27">
        <v>33</v>
      </c>
      <c r="AA238" s="27" t="s">
        <v>107</v>
      </c>
      <c r="AB238" s="27" t="s">
        <v>108</v>
      </c>
      <c r="AC238" s="27">
        <v>32</v>
      </c>
      <c r="AD238" s="27" t="s">
        <v>109</v>
      </c>
      <c r="AE238" s="27">
        <v>11</v>
      </c>
    </row>
    <row r="239" spans="1:31" ht="15" customHeight="1">
      <c r="A239" s="27">
        <v>26</v>
      </c>
      <c r="B239" s="27">
        <v>14</v>
      </c>
      <c r="C239" s="19" t="s">
        <v>31</v>
      </c>
      <c r="E239" s="27">
        <v>100</v>
      </c>
      <c r="I239" s="27">
        <v>59400</v>
      </c>
      <c r="J239" s="27" t="s">
        <v>32</v>
      </c>
      <c r="L239" s="27" t="s">
        <v>110</v>
      </c>
      <c r="U239" s="27" t="s">
        <v>37</v>
      </c>
      <c r="V239" s="19" t="s">
        <v>104</v>
      </c>
      <c r="W239" s="27">
        <v>24</v>
      </c>
      <c r="X239" s="27" t="s">
        <v>105</v>
      </c>
      <c r="Y239" s="19" t="s">
        <v>106</v>
      </c>
      <c r="Z239" s="27">
        <v>33</v>
      </c>
      <c r="AA239" s="27" t="s">
        <v>107</v>
      </c>
      <c r="AB239" s="27" t="s">
        <v>108</v>
      </c>
      <c r="AC239" s="27">
        <v>32</v>
      </c>
      <c r="AD239" s="27" t="s">
        <v>109</v>
      </c>
      <c r="AE239" s="27">
        <v>11</v>
      </c>
    </row>
    <row r="240" spans="1:31" ht="15" customHeight="1">
      <c r="A240" s="27">
        <v>26</v>
      </c>
      <c r="B240" s="27">
        <v>15</v>
      </c>
      <c r="C240" s="19" t="s">
        <v>31</v>
      </c>
      <c r="E240" s="27">
        <v>100</v>
      </c>
      <c r="I240" s="27">
        <v>59400</v>
      </c>
      <c r="J240" s="27" t="s">
        <v>32</v>
      </c>
      <c r="L240" s="27" t="s">
        <v>110</v>
      </c>
      <c r="U240" s="27" t="s">
        <v>37</v>
      </c>
      <c r="V240" s="19" t="s">
        <v>104</v>
      </c>
      <c r="W240" s="27">
        <v>24</v>
      </c>
      <c r="X240" s="27" t="s">
        <v>105</v>
      </c>
      <c r="Y240" s="19" t="s">
        <v>106</v>
      </c>
      <c r="Z240" s="27">
        <v>33</v>
      </c>
      <c r="AA240" s="27" t="s">
        <v>107</v>
      </c>
      <c r="AB240" s="27" t="s">
        <v>108</v>
      </c>
      <c r="AC240" s="27">
        <v>32</v>
      </c>
      <c r="AD240" s="27" t="s">
        <v>109</v>
      </c>
      <c r="AE240" s="27">
        <v>11</v>
      </c>
    </row>
    <row r="241" spans="1:31" ht="15" customHeight="1">
      <c r="A241" s="27">
        <v>26</v>
      </c>
      <c r="B241" s="27">
        <v>16</v>
      </c>
      <c r="C241" s="19" t="s">
        <v>31</v>
      </c>
      <c r="E241" s="27">
        <v>100</v>
      </c>
      <c r="I241" s="27">
        <v>59400</v>
      </c>
      <c r="J241" s="27" t="s">
        <v>32</v>
      </c>
      <c r="L241" s="27" t="s">
        <v>110</v>
      </c>
      <c r="U241" s="27" t="s">
        <v>37</v>
      </c>
      <c r="V241" s="19" t="s">
        <v>104</v>
      </c>
      <c r="W241" s="27">
        <v>24</v>
      </c>
      <c r="X241" s="27" t="s">
        <v>105</v>
      </c>
      <c r="Y241" s="19" t="s">
        <v>106</v>
      </c>
      <c r="Z241" s="27">
        <v>33</v>
      </c>
      <c r="AA241" s="27" t="s">
        <v>107</v>
      </c>
      <c r="AB241" s="27" t="s">
        <v>108</v>
      </c>
      <c r="AC241" s="27">
        <v>32</v>
      </c>
      <c r="AD241" s="27" t="s">
        <v>109</v>
      </c>
      <c r="AE241" s="27">
        <v>11</v>
      </c>
    </row>
    <row r="242" spans="1:31" ht="15" customHeight="1">
      <c r="A242" s="27">
        <v>26</v>
      </c>
      <c r="B242" s="27">
        <v>17</v>
      </c>
      <c r="C242" s="19" t="s">
        <v>31</v>
      </c>
      <c r="E242" s="27">
        <v>100</v>
      </c>
      <c r="I242" s="27">
        <v>59400</v>
      </c>
      <c r="J242" s="27" t="s">
        <v>32</v>
      </c>
      <c r="L242" s="27" t="s">
        <v>110</v>
      </c>
      <c r="U242" s="27" t="s">
        <v>37</v>
      </c>
      <c r="V242" s="19" t="s">
        <v>104</v>
      </c>
      <c r="W242" s="27">
        <v>24</v>
      </c>
      <c r="X242" s="27" t="s">
        <v>105</v>
      </c>
      <c r="Y242" s="19" t="s">
        <v>106</v>
      </c>
      <c r="Z242" s="27">
        <v>33</v>
      </c>
      <c r="AA242" s="27" t="s">
        <v>107</v>
      </c>
      <c r="AB242" s="27" t="s">
        <v>108</v>
      </c>
      <c r="AC242" s="27">
        <v>32</v>
      </c>
      <c r="AD242" s="27" t="s">
        <v>109</v>
      </c>
      <c r="AE242" s="27">
        <v>11</v>
      </c>
    </row>
    <row r="243" spans="1:31" ht="15" customHeight="1">
      <c r="A243" s="27">
        <v>26</v>
      </c>
      <c r="B243" s="27">
        <v>18</v>
      </c>
      <c r="C243" s="19" t="s">
        <v>31</v>
      </c>
      <c r="E243" s="27">
        <v>100</v>
      </c>
      <c r="I243" s="27">
        <v>59400</v>
      </c>
      <c r="J243" s="27" t="s">
        <v>32</v>
      </c>
      <c r="L243" s="27" t="s">
        <v>110</v>
      </c>
      <c r="U243" s="27" t="s">
        <v>37</v>
      </c>
      <c r="V243" s="19" t="s">
        <v>104</v>
      </c>
      <c r="W243" s="27">
        <v>24</v>
      </c>
      <c r="X243" s="27" t="s">
        <v>105</v>
      </c>
      <c r="Y243" s="19" t="s">
        <v>106</v>
      </c>
      <c r="Z243" s="27">
        <v>33</v>
      </c>
      <c r="AA243" s="27" t="s">
        <v>107</v>
      </c>
      <c r="AB243" s="27" t="s">
        <v>108</v>
      </c>
      <c r="AC243" s="27">
        <v>32</v>
      </c>
      <c r="AD243" s="27" t="s">
        <v>109</v>
      </c>
      <c r="AE243" s="27">
        <v>11</v>
      </c>
    </row>
    <row r="244" spans="1:31" ht="15" customHeight="1">
      <c r="A244" s="27">
        <v>26</v>
      </c>
      <c r="B244" s="27">
        <v>19</v>
      </c>
      <c r="C244" s="19" t="s">
        <v>31</v>
      </c>
      <c r="E244" s="27">
        <v>100</v>
      </c>
      <c r="I244" s="27">
        <v>59400</v>
      </c>
      <c r="J244" s="27" t="s">
        <v>32</v>
      </c>
      <c r="L244" s="27" t="s">
        <v>110</v>
      </c>
      <c r="U244" s="27" t="s">
        <v>37</v>
      </c>
      <c r="V244" s="19" t="s">
        <v>104</v>
      </c>
      <c r="W244" s="27">
        <v>20</v>
      </c>
      <c r="X244" s="27" t="s">
        <v>105</v>
      </c>
      <c r="Y244" s="19" t="s">
        <v>106</v>
      </c>
      <c r="Z244" s="27">
        <v>55</v>
      </c>
      <c r="AA244" s="27" t="s">
        <v>107</v>
      </c>
      <c r="AB244" s="27" t="s">
        <v>108</v>
      </c>
      <c r="AC244" s="27">
        <v>14</v>
      </c>
      <c r="AD244" s="27" t="s">
        <v>109</v>
      </c>
      <c r="AE244" s="27">
        <v>11</v>
      </c>
    </row>
    <row r="245" spans="1:31" ht="15" customHeight="1">
      <c r="A245" s="27">
        <v>26</v>
      </c>
      <c r="B245" s="27">
        <v>20</v>
      </c>
      <c r="C245" s="19" t="s">
        <v>31</v>
      </c>
      <c r="E245" s="27">
        <v>100</v>
      </c>
      <c r="I245" s="27">
        <v>59400</v>
      </c>
      <c r="J245" s="27" t="s">
        <v>32</v>
      </c>
      <c r="L245" s="27" t="s">
        <v>110</v>
      </c>
      <c r="U245" s="27" t="s">
        <v>37</v>
      </c>
      <c r="V245" s="19" t="s">
        <v>104</v>
      </c>
      <c r="W245" s="27">
        <v>20</v>
      </c>
      <c r="X245" s="27" t="s">
        <v>105</v>
      </c>
      <c r="Y245" s="19" t="s">
        <v>106</v>
      </c>
      <c r="Z245" s="27">
        <v>55</v>
      </c>
      <c r="AA245" s="27" t="s">
        <v>107</v>
      </c>
      <c r="AB245" s="27" t="s">
        <v>108</v>
      </c>
      <c r="AC245" s="27">
        <v>14</v>
      </c>
      <c r="AD245" s="27" t="s">
        <v>109</v>
      </c>
      <c r="AE245" s="27">
        <v>11</v>
      </c>
    </row>
    <row r="246" spans="1:31" ht="15" customHeight="1">
      <c r="A246" s="27">
        <v>26</v>
      </c>
      <c r="B246" s="27">
        <v>21</v>
      </c>
      <c r="C246" s="19" t="s">
        <v>31</v>
      </c>
      <c r="E246" s="27">
        <v>100</v>
      </c>
      <c r="I246" s="27">
        <v>59400</v>
      </c>
      <c r="J246" s="27" t="s">
        <v>32</v>
      </c>
      <c r="L246" s="27" t="s">
        <v>110</v>
      </c>
      <c r="U246" s="27" t="s">
        <v>37</v>
      </c>
      <c r="V246" s="19" t="s">
        <v>104</v>
      </c>
      <c r="W246" s="27">
        <v>20</v>
      </c>
      <c r="X246" s="27" t="s">
        <v>105</v>
      </c>
      <c r="Y246" s="19" t="s">
        <v>106</v>
      </c>
      <c r="Z246" s="27">
        <v>55</v>
      </c>
      <c r="AA246" s="27" t="s">
        <v>107</v>
      </c>
      <c r="AB246" s="27" t="s">
        <v>108</v>
      </c>
      <c r="AC246" s="27">
        <v>14</v>
      </c>
      <c r="AD246" s="27" t="s">
        <v>109</v>
      </c>
      <c r="AE246" s="27">
        <v>11</v>
      </c>
    </row>
    <row r="247" spans="1:31" ht="15" customHeight="1">
      <c r="A247" s="27">
        <v>26</v>
      </c>
      <c r="B247" s="27">
        <v>22</v>
      </c>
      <c r="C247" s="19" t="s">
        <v>31</v>
      </c>
      <c r="E247" s="27">
        <v>100</v>
      </c>
      <c r="I247" s="27">
        <v>59400</v>
      </c>
      <c r="J247" s="27" t="s">
        <v>32</v>
      </c>
      <c r="L247" s="27" t="s">
        <v>110</v>
      </c>
      <c r="U247" s="27" t="s">
        <v>37</v>
      </c>
      <c r="V247" s="19" t="s">
        <v>104</v>
      </c>
      <c r="W247" s="27">
        <v>20</v>
      </c>
      <c r="X247" s="27" t="s">
        <v>105</v>
      </c>
      <c r="Y247" s="19" t="s">
        <v>106</v>
      </c>
      <c r="Z247" s="27">
        <v>55</v>
      </c>
      <c r="AA247" s="27" t="s">
        <v>107</v>
      </c>
      <c r="AB247" s="27" t="s">
        <v>108</v>
      </c>
      <c r="AC247" s="27">
        <v>14</v>
      </c>
      <c r="AD247" s="27" t="s">
        <v>109</v>
      </c>
      <c r="AE247" s="27">
        <v>11</v>
      </c>
    </row>
    <row r="248" spans="1:31" ht="15" customHeight="1">
      <c r="A248" s="27">
        <v>26</v>
      </c>
      <c r="B248" s="27">
        <v>23</v>
      </c>
      <c r="C248" s="19" t="s">
        <v>31</v>
      </c>
      <c r="E248" s="27">
        <v>100</v>
      </c>
      <c r="I248" s="27">
        <v>59400</v>
      </c>
      <c r="J248" s="27" t="s">
        <v>32</v>
      </c>
      <c r="L248" s="27" t="s">
        <v>110</v>
      </c>
      <c r="U248" s="27" t="s">
        <v>37</v>
      </c>
      <c r="V248" s="19" t="s">
        <v>104</v>
      </c>
      <c r="W248" s="27">
        <v>20</v>
      </c>
      <c r="X248" s="27" t="s">
        <v>105</v>
      </c>
      <c r="Y248" s="19" t="s">
        <v>106</v>
      </c>
      <c r="Z248" s="27">
        <v>55</v>
      </c>
      <c r="AA248" s="27" t="s">
        <v>107</v>
      </c>
      <c r="AB248" s="27" t="s">
        <v>108</v>
      </c>
      <c r="AC248" s="27">
        <v>14</v>
      </c>
      <c r="AD248" s="27" t="s">
        <v>109</v>
      </c>
      <c r="AE248" s="27">
        <v>11</v>
      </c>
    </row>
    <row r="249" spans="1:31" ht="15" customHeight="1">
      <c r="A249" s="27">
        <v>26</v>
      </c>
      <c r="B249" s="27">
        <v>24</v>
      </c>
      <c r="C249" s="19" t="s">
        <v>31</v>
      </c>
      <c r="E249" s="27">
        <v>100</v>
      </c>
      <c r="I249" s="27">
        <v>59400</v>
      </c>
      <c r="J249" s="27" t="s">
        <v>32</v>
      </c>
      <c r="L249" s="27" t="s">
        <v>110</v>
      </c>
      <c r="U249" s="27" t="s">
        <v>37</v>
      </c>
      <c r="V249" s="19" t="s">
        <v>104</v>
      </c>
      <c r="W249" s="27">
        <v>20</v>
      </c>
      <c r="X249" s="27" t="s">
        <v>105</v>
      </c>
      <c r="Y249" s="19" t="s">
        <v>106</v>
      </c>
      <c r="Z249" s="27">
        <v>55</v>
      </c>
      <c r="AA249" s="27" t="s">
        <v>107</v>
      </c>
      <c r="AB249" s="27" t="s">
        <v>108</v>
      </c>
      <c r="AC249" s="27">
        <v>14</v>
      </c>
      <c r="AD249" s="27" t="s">
        <v>109</v>
      </c>
      <c r="AE249" s="27">
        <v>11</v>
      </c>
    </row>
    <row r="250" spans="1:31" ht="15" customHeight="1">
      <c r="A250" s="27">
        <v>26</v>
      </c>
      <c r="B250" s="27">
        <v>25</v>
      </c>
      <c r="C250" s="19" t="s">
        <v>31</v>
      </c>
      <c r="E250" s="27">
        <v>100</v>
      </c>
      <c r="I250" s="27">
        <v>59400</v>
      </c>
      <c r="J250" s="27" t="s">
        <v>32</v>
      </c>
      <c r="L250" s="27" t="s">
        <v>111</v>
      </c>
      <c r="U250" s="27" t="s">
        <v>37</v>
      </c>
      <c r="V250" s="19" t="s">
        <v>104</v>
      </c>
      <c r="W250" s="27">
        <v>23</v>
      </c>
      <c r="X250" s="27" t="s">
        <v>105</v>
      </c>
      <c r="Y250" s="19" t="s">
        <v>106</v>
      </c>
      <c r="Z250" s="27">
        <v>45</v>
      </c>
      <c r="AA250" s="27" t="s">
        <v>107</v>
      </c>
      <c r="AB250" s="27" t="s">
        <v>108</v>
      </c>
      <c r="AC250" s="27">
        <v>8</v>
      </c>
      <c r="AD250" s="27" t="s">
        <v>109</v>
      </c>
      <c r="AE250" s="27">
        <v>8</v>
      </c>
    </row>
    <row r="251" spans="1:31" ht="15" customHeight="1">
      <c r="A251" s="27">
        <v>26</v>
      </c>
      <c r="B251" s="27">
        <v>26</v>
      </c>
      <c r="C251" s="19" t="s">
        <v>31</v>
      </c>
      <c r="E251" s="27">
        <v>100</v>
      </c>
      <c r="I251" s="27">
        <v>59400</v>
      </c>
      <c r="J251" s="27" t="s">
        <v>32</v>
      </c>
      <c r="L251" s="27" t="s">
        <v>111</v>
      </c>
      <c r="U251" s="27" t="s">
        <v>37</v>
      </c>
      <c r="V251" s="19" t="s">
        <v>104</v>
      </c>
      <c r="W251" s="27">
        <v>23</v>
      </c>
      <c r="X251" s="27" t="s">
        <v>105</v>
      </c>
      <c r="Y251" s="19" t="s">
        <v>106</v>
      </c>
      <c r="Z251" s="27">
        <v>45</v>
      </c>
      <c r="AA251" s="27" t="s">
        <v>107</v>
      </c>
      <c r="AB251" s="27" t="s">
        <v>108</v>
      </c>
      <c r="AC251" s="27">
        <v>8</v>
      </c>
      <c r="AD251" s="27" t="s">
        <v>109</v>
      </c>
      <c r="AE251" s="27">
        <v>8</v>
      </c>
    </row>
    <row r="252" spans="1:31" ht="15" customHeight="1">
      <c r="A252" s="27">
        <v>26</v>
      </c>
      <c r="B252" s="27">
        <v>27</v>
      </c>
      <c r="C252" s="19" t="s">
        <v>31</v>
      </c>
      <c r="E252" s="27">
        <v>100</v>
      </c>
      <c r="I252" s="27">
        <v>59400</v>
      </c>
      <c r="J252" s="27" t="s">
        <v>32</v>
      </c>
      <c r="L252" s="27" t="s">
        <v>111</v>
      </c>
      <c r="U252" s="27" t="s">
        <v>37</v>
      </c>
      <c r="V252" s="19" t="s">
        <v>104</v>
      </c>
      <c r="W252" s="27">
        <v>23</v>
      </c>
      <c r="X252" s="27" t="s">
        <v>105</v>
      </c>
      <c r="Y252" s="19" t="s">
        <v>106</v>
      </c>
      <c r="Z252" s="27">
        <v>45</v>
      </c>
      <c r="AA252" s="27" t="s">
        <v>107</v>
      </c>
      <c r="AB252" s="27" t="s">
        <v>108</v>
      </c>
      <c r="AC252" s="27">
        <v>8</v>
      </c>
      <c r="AD252" s="27" t="s">
        <v>109</v>
      </c>
      <c r="AE252" s="27">
        <v>8</v>
      </c>
    </row>
    <row r="253" spans="1:31" ht="15" customHeight="1">
      <c r="A253" s="27">
        <v>26</v>
      </c>
      <c r="B253" s="27">
        <v>28</v>
      </c>
      <c r="C253" s="19" t="s">
        <v>31</v>
      </c>
      <c r="E253" s="27">
        <v>100</v>
      </c>
      <c r="I253" s="27">
        <v>59400</v>
      </c>
      <c r="J253" s="27" t="s">
        <v>32</v>
      </c>
      <c r="L253" s="27" t="s">
        <v>111</v>
      </c>
      <c r="U253" s="27" t="s">
        <v>37</v>
      </c>
      <c r="V253" s="19" t="s">
        <v>104</v>
      </c>
      <c r="W253" s="27">
        <v>23</v>
      </c>
      <c r="X253" s="27" t="s">
        <v>105</v>
      </c>
      <c r="Y253" s="19" t="s">
        <v>106</v>
      </c>
      <c r="Z253" s="27">
        <v>45</v>
      </c>
      <c r="AA253" s="27" t="s">
        <v>107</v>
      </c>
      <c r="AB253" s="27" t="s">
        <v>108</v>
      </c>
      <c r="AC253" s="27">
        <v>8</v>
      </c>
      <c r="AD253" s="27" t="s">
        <v>109</v>
      </c>
      <c r="AE253" s="27">
        <v>8</v>
      </c>
    </row>
    <row r="254" spans="1:31" ht="15" customHeight="1">
      <c r="A254" s="27">
        <v>26</v>
      </c>
      <c r="B254" s="27">
        <v>29</v>
      </c>
      <c r="C254" s="19" t="s">
        <v>31</v>
      </c>
      <c r="E254" s="27">
        <v>100</v>
      </c>
      <c r="I254" s="27">
        <v>59400</v>
      </c>
      <c r="J254" s="27" t="s">
        <v>32</v>
      </c>
      <c r="L254" s="27" t="s">
        <v>111</v>
      </c>
      <c r="U254" s="27" t="s">
        <v>37</v>
      </c>
      <c r="V254" s="19" t="s">
        <v>104</v>
      </c>
      <c r="W254" s="27">
        <v>23</v>
      </c>
      <c r="X254" s="27" t="s">
        <v>105</v>
      </c>
      <c r="Y254" s="19" t="s">
        <v>106</v>
      </c>
      <c r="Z254" s="27">
        <v>45</v>
      </c>
      <c r="AA254" s="27" t="s">
        <v>107</v>
      </c>
      <c r="AB254" s="27" t="s">
        <v>108</v>
      </c>
      <c r="AC254" s="27">
        <v>8</v>
      </c>
      <c r="AD254" s="27" t="s">
        <v>109</v>
      </c>
      <c r="AE254" s="27">
        <v>8</v>
      </c>
    </row>
    <row r="255" spans="1:31" ht="15" customHeight="1">
      <c r="A255" s="27">
        <v>26</v>
      </c>
      <c r="B255" s="27">
        <v>30</v>
      </c>
      <c r="C255" s="19" t="s">
        <v>31</v>
      </c>
      <c r="E255" s="27">
        <v>100</v>
      </c>
      <c r="H255" s="61"/>
      <c r="I255" s="61">
        <v>59400</v>
      </c>
      <c r="J255" s="61" t="s">
        <v>32</v>
      </c>
      <c r="L255" s="27" t="s">
        <v>111</v>
      </c>
      <c r="U255" s="27" t="s">
        <v>37</v>
      </c>
      <c r="V255" s="19" t="s">
        <v>104</v>
      </c>
      <c r="W255" s="27">
        <v>23</v>
      </c>
      <c r="X255" s="27" t="s">
        <v>105</v>
      </c>
      <c r="Y255" s="19" t="s">
        <v>106</v>
      </c>
      <c r="Z255" s="27">
        <v>45</v>
      </c>
      <c r="AA255" s="27" t="s">
        <v>107</v>
      </c>
      <c r="AB255" s="27" t="s">
        <v>108</v>
      </c>
      <c r="AC255" s="27">
        <v>8</v>
      </c>
      <c r="AD255" s="27" t="s">
        <v>109</v>
      </c>
      <c r="AE255" s="27">
        <v>8</v>
      </c>
    </row>
    <row r="256" spans="1:31" s="41" customFormat="1" ht="15" customHeight="1">
      <c r="A256" s="41">
        <v>27</v>
      </c>
      <c r="B256" s="41">
        <v>1</v>
      </c>
      <c r="C256" s="18" t="s">
        <v>31</v>
      </c>
      <c r="E256" s="41">
        <v>100</v>
      </c>
      <c r="H256" s="27"/>
      <c r="I256" s="27"/>
      <c r="J256" s="27"/>
      <c r="L256" s="41" t="s">
        <v>112</v>
      </c>
      <c r="S256" s="41">
        <v>0.56999999999999995</v>
      </c>
      <c r="T256" s="41" t="s">
        <v>34</v>
      </c>
      <c r="U256" s="41" t="s">
        <v>37</v>
      </c>
      <c r="V256" s="41" t="s">
        <v>49</v>
      </c>
      <c r="W256" s="41">
        <v>16.5</v>
      </c>
      <c r="X256" s="41" t="s">
        <v>39</v>
      </c>
      <c r="AE256" s="41">
        <v>83.5</v>
      </c>
    </row>
    <row r="257" spans="1:31" ht="15" customHeight="1">
      <c r="A257" s="27">
        <v>27</v>
      </c>
      <c r="B257" s="27">
        <v>2</v>
      </c>
      <c r="C257" s="19" t="s">
        <v>31</v>
      </c>
      <c r="E257" s="27">
        <v>100</v>
      </c>
      <c r="L257" s="27" t="s">
        <v>112</v>
      </c>
      <c r="S257" s="27">
        <v>0.56999999999999995</v>
      </c>
      <c r="T257" s="27" t="s">
        <v>34</v>
      </c>
      <c r="U257" s="27" t="s">
        <v>37</v>
      </c>
      <c r="V257" s="27" t="s">
        <v>49</v>
      </c>
      <c r="W257" s="27">
        <v>16.5</v>
      </c>
      <c r="X257" s="27" t="s">
        <v>39</v>
      </c>
      <c r="AE257" s="27">
        <v>83.5</v>
      </c>
    </row>
    <row r="258" spans="1:31" ht="15" customHeight="1">
      <c r="A258" s="27">
        <v>27</v>
      </c>
      <c r="B258" s="27">
        <v>3</v>
      </c>
      <c r="C258" s="19" t="s">
        <v>31</v>
      </c>
      <c r="E258" s="27">
        <v>100</v>
      </c>
      <c r="L258" s="27" t="s">
        <v>112</v>
      </c>
      <c r="S258" s="27">
        <v>0.56999999999999995</v>
      </c>
      <c r="T258" s="27" t="s">
        <v>34</v>
      </c>
      <c r="U258" s="27" t="s">
        <v>37</v>
      </c>
      <c r="V258" s="27" t="s">
        <v>49</v>
      </c>
      <c r="W258" s="27">
        <v>16.5</v>
      </c>
      <c r="X258" s="27" t="s">
        <v>39</v>
      </c>
      <c r="AE258" s="27">
        <v>83.5</v>
      </c>
    </row>
    <row r="259" spans="1:31" ht="15" customHeight="1">
      <c r="A259" s="27">
        <v>27</v>
      </c>
      <c r="B259" s="27">
        <v>4</v>
      </c>
      <c r="C259" s="19" t="s">
        <v>31</v>
      </c>
      <c r="E259" s="27">
        <v>100</v>
      </c>
      <c r="L259" s="27" t="s">
        <v>112</v>
      </c>
      <c r="S259" s="27">
        <v>0.56999999999999995</v>
      </c>
      <c r="T259" s="27" t="s">
        <v>34</v>
      </c>
      <c r="U259" s="27" t="s">
        <v>37</v>
      </c>
      <c r="V259" s="27" t="s">
        <v>49</v>
      </c>
      <c r="W259" s="27">
        <v>22.6</v>
      </c>
      <c r="X259" s="27" t="s">
        <v>39</v>
      </c>
      <c r="Y259" s="27" t="s">
        <v>113</v>
      </c>
      <c r="Z259" s="27">
        <v>16</v>
      </c>
      <c r="AA259" t="s">
        <v>114</v>
      </c>
      <c r="AE259" s="27">
        <v>61.4</v>
      </c>
    </row>
    <row r="260" spans="1:31" ht="15" customHeight="1">
      <c r="A260" s="27">
        <v>27</v>
      </c>
      <c r="B260" s="27">
        <v>5</v>
      </c>
      <c r="C260" s="19" t="s">
        <v>31</v>
      </c>
      <c r="E260" s="27">
        <v>100</v>
      </c>
      <c r="L260" s="27" t="s">
        <v>112</v>
      </c>
      <c r="S260" s="27">
        <v>0.56999999999999995</v>
      </c>
      <c r="T260" s="27" t="s">
        <v>34</v>
      </c>
      <c r="U260" s="27" t="s">
        <v>37</v>
      </c>
      <c r="V260" s="27" t="s">
        <v>49</v>
      </c>
      <c r="W260" s="27">
        <v>22.6</v>
      </c>
      <c r="X260" s="27" t="s">
        <v>39</v>
      </c>
      <c r="Y260" s="27" t="s">
        <v>113</v>
      </c>
      <c r="Z260" s="27">
        <v>16</v>
      </c>
      <c r="AA260" t="s">
        <v>114</v>
      </c>
      <c r="AE260" s="27">
        <v>61.4</v>
      </c>
    </row>
    <row r="261" spans="1:31" ht="15" customHeight="1">
      <c r="A261" s="27">
        <v>27</v>
      </c>
      <c r="B261" s="27">
        <v>6</v>
      </c>
      <c r="C261" s="19" t="s">
        <v>31</v>
      </c>
      <c r="E261" s="27">
        <v>100</v>
      </c>
      <c r="L261" s="27" t="s">
        <v>112</v>
      </c>
      <c r="S261" s="27">
        <v>0.56999999999999995</v>
      </c>
      <c r="T261" s="27" t="s">
        <v>34</v>
      </c>
      <c r="U261" s="27" t="s">
        <v>37</v>
      </c>
      <c r="V261" s="27" t="s">
        <v>49</v>
      </c>
      <c r="W261" s="27">
        <v>22.6</v>
      </c>
      <c r="X261" s="27" t="s">
        <v>39</v>
      </c>
      <c r="Y261" s="27" t="s">
        <v>113</v>
      </c>
      <c r="Z261" s="27">
        <v>16</v>
      </c>
      <c r="AA261" t="s">
        <v>114</v>
      </c>
      <c r="AE261" s="27">
        <v>61.4</v>
      </c>
    </row>
    <row r="262" spans="1:31" ht="15" customHeight="1">
      <c r="A262" s="27">
        <v>27</v>
      </c>
      <c r="B262" s="27">
        <v>7</v>
      </c>
      <c r="C262" s="19" t="s">
        <v>31</v>
      </c>
      <c r="E262" s="27">
        <v>100</v>
      </c>
      <c r="L262" s="27" t="s">
        <v>112</v>
      </c>
      <c r="S262" s="27">
        <v>0.56999999999999995</v>
      </c>
      <c r="T262" s="27" t="s">
        <v>34</v>
      </c>
      <c r="U262" s="27" t="s">
        <v>37</v>
      </c>
      <c r="V262" s="27" t="s">
        <v>115</v>
      </c>
      <c r="W262" s="27">
        <v>2.44</v>
      </c>
      <c r="X262" s="27" t="s">
        <v>116</v>
      </c>
      <c r="AE262" s="27">
        <v>97.56</v>
      </c>
    </row>
    <row r="263" spans="1:31" ht="15" customHeight="1">
      <c r="A263" s="27">
        <v>27</v>
      </c>
      <c r="B263" s="27">
        <v>8</v>
      </c>
      <c r="C263" s="19" t="s">
        <v>31</v>
      </c>
      <c r="E263" s="27">
        <v>100</v>
      </c>
      <c r="L263" s="27" t="s">
        <v>112</v>
      </c>
      <c r="S263" s="27">
        <v>0.56999999999999995</v>
      </c>
      <c r="T263" s="27" t="s">
        <v>34</v>
      </c>
      <c r="U263" s="27" t="s">
        <v>37</v>
      </c>
      <c r="V263" s="27" t="s">
        <v>115</v>
      </c>
      <c r="W263" s="27">
        <v>2.44</v>
      </c>
      <c r="X263" s="27" t="s">
        <v>116</v>
      </c>
      <c r="AE263" s="27">
        <v>97.56</v>
      </c>
    </row>
    <row r="264" spans="1:31" ht="15" customHeight="1">
      <c r="A264" s="27">
        <v>27</v>
      </c>
      <c r="B264" s="27">
        <v>9</v>
      </c>
      <c r="C264" s="19" t="s">
        <v>31</v>
      </c>
      <c r="E264" s="27">
        <v>100</v>
      </c>
      <c r="L264" s="27" t="s">
        <v>112</v>
      </c>
      <c r="S264" s="27">
        <v>0.56999999999999995</v>
      </c>
      <c r="T264" s="27" t="s">
        <v>34</v>
      </c>
      <c r="U264" s="27" t="s">
        <v>37</v>
      </c>
      <c r="V264" s="27" t="s">
        <v>115</v>
      </c>
      <c r="W264" s="27">
        <v>2.44</v>
      </c>
      <c r="X264" s="27" t="s">
        <v>116</v>
      </c>
      <c r="AE264" s="27">
        <v>97.56</v>
      </c>
    </row>
    <row r="265" spans="1:31" ht="15" customHeight="1">
      <c r="A265" s="27">
        <v>27</v>
      </c>
      <c r="B265" s="27">
        <v>10</v>
      </c>
      <c r="C265" s="19" t="s">
        <v>31</v>
      </c>
      <c r="E265" s="27">
        <v>100</v>
      </c>
      <c r="L265" s="27" t="s">
        <v>112</v>
      </c>
      <c r="S265" s="27">
        <v>0.56999999999999995</v>
      </c>
      <c r="T265" s="27" t="s">
        <v>34</v>
      </c>
      <c r="U265" s="27" t="s">
        <v>37</v>
      </c>
      <c r="V265" s="27" t="s">
        <v>115</v>
      </c>
      <c r="W265" s="27">
        <v>2</v>
      </c>
      <c r="X265" s="27" t="s">
        <v>116</v>
      </c>
      <c r="Y265" s="27" t="s">
        <v>113</v>
      </c>
      <c r="Z265" s="27">
        <v>16</v>
      </c>
      <c r="AA265" t="s">
        <v>114</v>
      </c>
      <c r="AE265" s="27">
        <v>81</v>
      </c>
    </row>
    <row r="266" spans="1:31" ht="15" customHeight="1">
      <c r="A266" s="27">
        <v>27</v>
      </c>
      <c r="B266" s="27">
        <v>11</v>
      </c>
      <c r="C266" s="19" t="s">
        <v>31</v>
      </c>
      <c r="E266" s="27">
        <v>100</v>
      </c>
      <c r="L266" s="27" t="s">
        <v>112</v>
      </c>
      <c r="S266" s="27">
        <v>0.56999999999999995</v>
      </c>
      <c r="T266" s="27" t="s">
        <v>34</v>
      </c>
      <c r="U266" s="27" t="s">
        <v>37</v>
      </c>
      <c r="V266" s="27" t="s">
        <v>115</v>
      </c>
      <c r="W266" s="27">
        <v>2</v>
      </c>
      <c r="X266" s="27" t="s">
        <v>116</v>
      </c>
      <c r="Y266" s="27" t="s">
        <v>113</v>
      </c>
      <c r="Z266" s="27">
        <v>16</v>
      </c>
      <c r="AA266" t="s">
        <v>114</v>
      </c>
      <c r="AE266" s="27">
        <v>81</v>
      </c>
    </row>
    <row r="267" spans="1:31" ht="15" customHeight="1">
      <c r="A267" s="27">
        <v>27</v>
      </c>
      <c r="B267" s="27">
        <v>12</v>
      </c>
      <c r="C267" s="19" t="s">
        <v>31</v>
      </c>
      <c r="E267" s="27">
        <v>100</v>
      </c>
      <c r="L267" s="27" t="s">
        <v>112</v>
      </c>
      <c r="S267" s="27">
        <v>0.56999999999999995</v>
      </c>
      <c r="T267" s="27" t="s">
        <v>34</v>
      </c>
      <c r="U267" s="27" t="s">
        <v>37</v>
      </c>
      <c r="V267" s="27" t="s">
        <v>115</v>
      </c>
      <c r="W267" s="27">
        <v>2</v>
      </c>
      <c r="X267" s="27" t="s">
        <v>116</v>
      </c>
      <c r="Y267" s="27" t="s">
        <v>113</v>
      </c>
      <c r="Z267" s="27">
        <v>16</v>
      </c>
      <c r="AA267" t="s">
        <v>114</v>
      </c>
      <c r="AE267" s="27">
        <v>81</v>
      </c>
    </row>
    <row r="268" spans="1:31" ht="15" customHeight="1">
      <c r="A268" s="27">
        <v>27</v>
      </c>
      <c r="B268" s="27">
        <v>13</v>
      </c>
      <c r="C268" s="19" t="s">
        <v>31</v>
      </c>
      <c r="E268" s="27">
        <v>100</v>
      </c>
      <c r="L268" s="27" t="s">
        <v>112</v>
      </c>
      <c r="S268" s="27">
        <v>0.56999999999999995</v>
      </c>
      <c r="T268" s="27" t="s">
        <v>34</v>
      </c>
      <c r="U268" s="27" t="s">
        <v>37</v>
      </c>
      <c r="V268" s="27" t="s">
        <v>113</v>
      </c>
      <c r="W268" s="27">
        <v>15</v>
      </c>
      <c r="X268" t="s">
        <v>114</v>
      </c>
      <c r="AE268" s="27">
        <v>85</v>
      </c>
    </row>
    <row r="269" spans="1:31" ht="15" customHeight="1">
      <c r="A269" s="27">
        <v>27</v>
      </c>
      <c r="B269" s="27">
        <v>14</v>
      </c>
      <c r="C269" s="19" t="s">
        <v>31</v>
      </c>
      <c r="E269" s="27">
        <v>100</v>
      </c>
      <c r="L269" s="27" t="s">
        <v>112</v>
      </c>
      <c r="S269" s="27">
        <v>0.56999999999999995</v>
      </c>
      <c r="T269" s="27" t="s">
        <v>34</v>
      </c>
      <c r="U269" s="27" t="s">
        <v>37</v>
      </c>
      <c r="V269" s="27" t="s">
        <v>113</v>
      </c>
      <c r="W269" s="27">
        <v>15</v>
      </c>
      <c r="X269" t="s">
        <v>114</v>
      </c>
      <c r="AE269" s="27">
        <v>85</v>
      </c>
    </row>
    <row r="270" spans="1:31" ht="15" customHeight="1">
      <c r="A270" s="27">
        <v>27</v>
      </c>
      <c r="B270" s="27">
        <v>15</v>
      </c>
      <c r="C270" s="19" t="s">
        <v>31</v>
      </c>
      <c r="E270" s="27">
        <v>100</v>
      </c>
      <c r="L270" s="27" t="s">
        <v>112</v>
      </c>
      <c r="S270" s="27">
        <v>0.56999999999999995</v>
      </c>
      <c r="T270" s="27" t="s">
        <v>34</v>
      </c>
      <c r="U270" s="27" t="s">
        <v>37</v>
      </c>
      <c r="V270" s="27" t="s">
        <v>113</v>
      </c>
      <c r="W270" s="27">
        <v>15</v>
      </c>
      <c r="X270" t="s">
        <v>114</v>
      </c>
      <c r="AE270" s="27">
        <v>85</v>
      </c>
    </row>
    <row r="271" spans="1:31" ht="15" customHeight="1">
      <c r="A271" s="27">
        <v>27</v>
      </c>
      <c r="B271" s="27">
        <v>16</v>
      </c>
      <c r="C271" s="19" t="s">
        <v>31</v>
      </c>
      <c r="E271" s="27">
        <v>100</v>
      </c>
      <c r="L271" s="27" t="s">
        <v>112</v>
      </c>
      <c r="S271" s="27">
        <v>0.56999999999999995</v>
      </c>
      <c r="T271" s="27" t="s">
        <v>34</v>
      </c>
      <c r="U271" s="27" t="s">
        <v>37</v>
      </c>
      <c r="V271" s="27" t="s">
        <v>49</v>
      </c>
      <c r="W271" s="27">
        <v>23</v>
      </c>
      <c r="X271" s="27" t="s">
        <v>39</v>
      </c>
      <c r="Y271" s="27" t="s">
        <v>115</v>
      </c>
      <c r="Z271" s="27">
        <v>2</v>
      </c>
      <c r="AA271" s="27" t="s">
        <v>116</v>
      </c>
      <c r="AB271" s="27" t="s">
        <v>113</v>
      </c>
      <c r="AC271" s="27">
        <v>16</v>
      </c>
      <c r="AD271" t="s">
        <v>114</v>
      </c>
      <c r="AE271" s="27">
        <v>59</v>
      </c>
    </row>
    <row r="272" spans="1:31" ht="15" customHeight="1">
      <c r="A272" s="27">
        <v>27</v>
      </c>
      <c r="B272" s="27">
        <v>17</v>
      </c>
      <c r="C272" s="19" t="s">
        <v>31</v>
      </c>
      <c r="E272" s="27">
        <v>100</v>
      </c>
      <c r="L272" s="27" t="s">
        <v>112</v>
      </c>
      <c r="S272" s="27">
        <v>0.56999999999999995</v>
      </c>
      <c r="T272" s="27" t="s">
        <v>34</v>
      </c>
      <c r="U272" s="27" t="s">
        <v>37</v>
      </c>
      <c r="V272" s="27" t="s">
        <v>49</v>
      </c>
      <c r="W272" s="27">
        <v>23</v>
      </c>
      <c r="X272" s="27" t="s">
        <v>39</v>
      </c>
      <c r="Y272" s="27" t="s">
        <v>115</v>
      </c>
      <c r="Z272" s="27">
        <v>2</v>
      </c>
      <c r="AA272" s="27" t="s">
        <v>116</v>
      </c>
      <c r="AB272" s="27" t="s">
        <v>113</v>
      </c>
      <c r="AC272" s="27">
        <v>16</v>
      </c>
      <c r="AD272" t="s">
        <v>114</v>
      </c>
      <c r="AE272" s="27">
        <v>59</v>
      </c>
    </row>
    <row r="273" spans="1:31" ht="15" customHeight="1">
      <c r="A273" s="27">
        <v>27</v>
      </c>
      <c r="B273" s="27">
        <v>18</v>
      </c>
      <c r="C273" s="19" t="s">
        <v>31</v>
      </c>
      <c r="E273" s="27">
        <v>100</v>
      </c>
      <c r="L273" s="27" t="s">
        <v>112</v>
      </c>
      <c r="S273" s="27">
        <v>0.56999999999999995</v>
      </c>
      <c r="T273" s="27" t="s">
        <v>34</v>
      </c>
      <c r="U273" s="27" t="s">
        <v>37</v>
      </c>
      <c r="V273" s="27" t="s">
        <v>49</v>
      </c>
      <c r="W273" s="27">
        <v>23</v>
      </c>
      <c r="X273" s="27" t="s">
        <v>39</v>
      </c>
      <c r="Y273" s="27" t="s">
        <v>115</v>
      </c>
      <c r="Z273" s="27">
        <v>2</v>
      </c>
      <c r="AA273" s="27" t="s">
        <v>116</v>
      </c>
      <c r="AB273" s="27" t="s">
        <v>113</v>
      </c>
      <c r="AC273" s="27">
        <v>16</v>
      </c>
      <c r="AD273" t="s">
        <v>114</v>
      </c>
      <c r="AE273" s="27">
        <v>59</v>
      </c>
    </row>
    <row r="274" spans="1:31" s="41" customFormat="1" ht="15" customHeight="1">
      <c r="A274" s="41">
        <v>28</v>
      </c>
      <c r="B274" s="41">
        <v>1</v>
      </c>
      <c r="C274" s="18" t="s">
        <v>31</v>
      </c>
      <c r="E274" s="41">
        <v>100</v>
      </c>
      <c r="H274" s="41" t="s">
        <v>32</v>
      </c>
      <c r="I274" s="41">
        <v>60000</v>
      </c>
      <c r="L274" s="41" t="s">
        <v>117</v>
      </c>
      <c r="S274" s="41">
        <v>100</v>
      </c>
      <c r="T274" s="41" t="s">
        <v>57</v>
      </c>
      <c r="U274" s="41" t="s">
        <v>37</v>
      </c>
      <c r="V274" s="41" t="s">
        <v>88</v>
      </c>
      <c r="W274" s="41">
        <v>93.97</v>
      </c>
      <c r="X274" s="41" t="s">
        <v>118</v>
      </c>
      <c r="AE274" s="41">
        <v>6.03</v>
      </c>
    </row>
    <row r="275" spans="1:31" ht="15" customHeight="1">
      <c r="A275" s="19">
        <v>28</v>
      </c>
      <c r="B275" s="19">
        <v>2</v>
      </c>
      <c r="C275" s="19" t="s">
        <v>31</v>
      </c>
      <c r="E275" s="27">
        <v>100</v>
      </c>
      <c r="H275" s="27" t="s">
        <v>32</v>
      </c>
      <c r="I275" s="27">
        <v>60000</v>
      </c>
      <c r="L275" s="27" t="s">
        <v>117</v>
      </c>
      <c r="S275" s="27">
        <v>100</v>
      </c>
      <c r="T275" s="27" t="s">
        <v>57</v>
      </c>
      <c r="U275" s="27" t="s">
        <v>37</v>
      </c>
      <c r="V275" s="27" t="s">
        <v>88</v>
      </c>
      <c r="W275" s="27">
        <v>93.97</v>
      </c>
      <c r="X275" s="27" t="s">
        <v>118</v>
      </c>
      <c r="AE275" s="27">
        <v>6.03</v>
      </c>
    </row>
    <row r="276" spans="1:31" ht="15" customHeight="1">
      <c r="A276" s="19">
        <v>28</v>
      </c>
      <c r="B276" s="19">
        <v>3</v>
      </c>
      <c r="C276" s="19" t="s">
        <v>31</v>
      </c>
      <c r="E276" s="27">
        <v>100</v>
      </c>
      <c r="H276" s="27" t="s">
        <v>32</v>
      </c>
      <c r="I276" s="27">
        <v>60000</v>
      </c>
      <c r="L276" s="27" t="s">
        <v>117</v>
      </c>
      <c r="S276" s="27">
        <v>100</v>
      </c>
      <c r="T276" s="27" t="s">
        <v>57</v>
      </c>
      <c r="U276" s="27" t="s">
        <v>37</v>
      </c>
      <c r="V276" s="27" t="s">
        <v>88</v>
      </c>
      <c r="W276" s="27">
        <v>93.97</v>
      </c>
      <c r="X276" s="27" t="s">
        <v>118</v>
      </c>
      <c r="AE276" s="27">
        <v>6.03</v>
      </c>
    </row>
    <row r="277" spans="1:31" ht="15" customHeight="1">
      <c r="A277" s="19">
        <v>28</v>
      </c>
      <c r="B277" s="19">
        <v>4</v>
      </c>
      <c r="C277" s="19" t="s">
        <v>31</v>
      </c>
      <c r="E277" s="27">
        <v>100</v>
      </c>
      <c r="H277" s="27" t="s">
        <v>32</v>
      </c>
      <c r="I277" s="27">
        <v>60000</v>
      </c>
      <c r="L277" s="27" t="s">
        <v>117</v>
      </c>
      <c r="S277" s="27">
        <v>100</v>
      </c>
      <c r="T277" s="27" t="s">
        <v>57</v>
      </c>
      <c r="U277" s="27" t="s">
        <v>37</v>
      </c>
      <c r="V277" s="27" t="s">
        <v>88</v>
      </c>
      <c r="W277" s="27">
        <v>93.97</v>
      </c>
      <c r="X277" s="27" t="s">
        <v>118</v>
      </c>
      <c r="AE277" s="27">
        <v>6.03</v>
      </c>
    </row>
    <row r="278" spans="1:31" ht="15" customHeight="1">
      <c r="A278" s="19">
        <v>28</v>
      </c>
      <c r="B278" s="19">
        <v>5</v>
      </c>
      <c r="C278" s="19" t="s">
        <v>31</v>
      </c>
      <c r="E278" s="27">
        <v>100</v>
      </c>
      <c r="H278" s="27" t="s">
        <v>32</v>
      </c>
      <c r="I278" s="27">
        <v>60000</v>
      </c>
      <c r="L278" s="27" t="s">
        <v>117</v>
      </c>
      <c r="S278" s="27">
        <v>100</v>
      </c>
      <c r="T278" s="27" t="s">
        <v>57</v>
      </c>
      <c r="U278" s="27" t="s">
        <v>37</v>
      </c>
      <c r="V278" s="27" t="s">
        <v>88</v>
      </c>
      <c r="W278" s="27">
        <v>93.97</v>
      </c>
      <c r="X278" s="27" t="s">
        <v>118</v>
      </c>
      <c r="AE278" s="27">
        <v>6.03</v>
      </c>
    </row>
    <row r="279" spans="1:31" ht="15" customHeight="1">
      <c r="A279" s="19">
        <v>28</v>
      </c>
      <c r="B279" s="19">
        <v>6</v>
      </c>
      <c r="C279" s="19" t="s">
        <v>31</v>
      </c>
      <c r="E279" s="27">
        <v>100</v>
      </c>
      <c r="H279" s="27" t="s">
        <v>32</v>
      </c>
      <c r="I279" s="27">
        <v>60000</v>
      </c>
      <c r="L279" s="27" t="s">
        <v>117</v>
      </c>
      <c r="S279" s="27">
        <v>100</v>
      </c>
      <c r="T279" s="27" t="s">
        <v>57</v>
      </c>
      <c r="U279" s="27" t="s">
        <v>37</v>
      </c>
      <c r="V279" s="27" t="s">
        <v>88</v>
      </c>
      <c r="W279" s="27">
        <v>93.97</v>
      </c>
      <c r="X279" s="27" t="s">
        <v>118</v>
      </c>
      <c r="AE279" s="27">
        <v>6.03</v>
      </c>
    </row>
    <row r="280" spans="1:31" ht="15" customHeight="1">
      <c r="A280" s="27">
        <v>28</v>
      </c>
      <c r="B280" s="27">
        <v>7</v>
      </c>
      <c r="C280" s="19" t="s">
        <v>31</v>
      </c>
      <c r="E280" s="27">
        <v>100</v>
      </c>
      <c r="H280" s="27" t="s">
        <v>32</v>
      </c>
      <c r="I280" s="27">
        <v>60000</v>
      </c>
      <c r="L280" s="27" t="s">
        <v>117</v>
      </c>
      <c r="S280" s="27">
        <v>110</v>
      </c>
      <c r="T280" s="27" t="s">
        <v>57</v>
      </c>
      <c r="U280" s="27" t="s">
        <v>37</v>
      </c>
      <c r="V280" s="27" t="s">
        <v>88</v>
      </c>
      <c r="W280" s="27">
        <v>94.11</v>
      </c>
      <c r="X280" s="27" t="s">
        <v>118</v>
      </c>
      <c r="AE280" s="27">
        <v>5.89</v>
      </c>
    </row>
    <row r="281" spans="1:31" ht="15" customHeight="1">
      <c r="A281" s="27">
        <v>28</v>
      </c>
      <c r="B281" s="27">
        <v>8</v>
      </c>
      <c r="C281" s="19" t="s">
        <v>31</v>
      </c>
      <c r="E281" s="27">
        <v>100</v>
      </c>
      <c r="H281" s="27" t="s">
        <v>32</v>
      </c>
      <c r="I281" s="27">
        <v>60000</v>
      </c>
      <c r="L281" s="27" t="s">
        <v>117</v>
      </c>
      <c r="S281" s="27">
        <v>110</v>
      </c>
      <c r="T281" s="27" t="s">
        <v>57</v>
      </c>
      <c r="U281" s="27" t="s">
        <v>37</v>
      </c>
      <c r="V281" s="27" t="s">
        <v>88</v>
      </c>
      <c r="W281" s="27">
        <v>94.11</v>
      </c>
      <c r="X281" s="27" t="s">
        <v>118</v>
      </c>
      <c r="AE281" s="27">
        <v>5.89</v>
      </c>
    </row>
    <row r="282" spans="1:31" ht="15" customHeight="1">
      <c r="A282" s="27">
        <v>28</v>
      </c>
      <c r="B282" s="27">
        <v>9</v>
      </c>
      <c r="C282" s="19" t="s">
        <v>31</v>
      </c>
      <c r="E282" s="27">
        <v>100</v>
      </c>
      <c r="H282" s="27" t="s">
        <v>32</v>
      </c>
      <c r="I282" s="27">
        <v>60000</v>
      </c>
      <c r="L282" s="27" t="s">
        <v>117</v>
      </c>
      <c r="S282" s="27">
        <v>110</v>
      </c>
      <c r="T282" s="27" t="s">
        <v>57</v>
      </c>
      <c r="U282" s="27" t="s">
        <v>37</v>
      </c>
      <c r="V282" s="27" t="s">
        <v>88</v>
      </c>
      <c r="W282" s="27">
        <v>94.11</v>
      </c>
      <c r="X282" s="27" t="s">
        <v>118</v>
      </c>
      <c r="AE282" s="27">
        <v>5.89</v>
      </c>
    </row>
    <row r="283" spans="1:31" ht="15" customHeight="1">
      <c r="A283" s="27">
        <v>28</v>
      </c>
      <c r="B283" s="27">
        <v>10</v>
      </c>
      <c r="C283" s="19" t="s">
        <v>31</v>
      </c>
      <c r="E283" s="27">
        <v>100</v>
      </c>
      <c r="H283" s="27" t="s">
        <v>32</v>
      </c>
      <c r="I283" s="27">
        <v>60000</v>
      </c>
      <c r="L283" s="27" t="s">
        <v>117</v>
      </c>
      <c r="S283" s="27">
        <v>110</v>
      </c>
      <c r="T283" s="27" t="s">
        <v>57</v>
      </c>
      <c r="U283" s="27" t="s">
        <v>37</v>
      </c>
      <c r="V283" s="27" t="s">
        <v>88</v>
      </c>
      <c r="W283" s="27">
        <v>94.11</v>
      </c>
      <c r="X283" s="27" t="s">
        <v>118</v>
      </c>
      <c r="AE283" s="27">
        <v>5.89</v>
      </c>
    </row>
    <row r="284" spans="1:31" ht="15" customHeight="1">
      <c r="A284" s="27">
        <v>28</v>
      </c>
      <c r="B284" s="27">
        <v>11</v>
      </c>
      <c r="C284" s="19" t="s">
        <v>31</v>
      </c>
      <c r="E284" s="27">
        <v>100</v>
      </c>
      <c r="H284" s="27" t="s">
        <v>32</v>
      </c>
      <c r="I284" s="27">
        <v>60000</v>
      </c>
      <c r="L284" s="27" t="s">
        <v>117</v>
      </c>
      <c r="S284" s="27">
        <v>110</v>
      </c>
      <c r="T284" s="27" t="s">
        <v>57</v>
      </c>
      <c r="U284" s="27" t="s">
        <v>37</v>
      </c>
      <c r="V284" s="27" t="s">
        <v>88</v>
      </c>
      <c r="W284" s="27">
        <v>94.11</v>
      </c>
      <c r="X284" s="27" t="s">
        <v>118</v>
      </c>
      <c r="AE284" s="27">
        <v>5.89</v>
      </c>
    </row>
    <row r="285" spans="1:31" ht="15" customHeight="1">
      <c r="A285" s="27">
        <v>28</v>
      </c>
      <c r="B285" s="27">
        <v>12</v>
      </c>
      <c r="C285" s="19" t="s">
        <v>31</v>
      </c>
      <c r="E285" s="27">
        <v>100</v>
      </c>
      <c r="H285" s="27" t="s">
        <v>32</v>
      </c>
      <c r="I285" s="27">
        <v>60000</v>
      </c>
      <c r="L285" s="27" t="s">
        <v>117</v>
      </c>
      <c r="S285" s="27">
        <v>110</v>
      </c>
      <c r="T285" s="27" t="s">
        <v>57</v>
      </c>
      <c r="U285" s="27" t="s">
        <v>37</v>
      </c>
      <c r="V285" s="27" t="s">
        <v>88</v>
      </c>
      <c r="W285" s="27">
        <v>94.11</v>
      </c>
      <c r="X285" s="27" t="s">
        <v>118</v>
      </c>
      <c r="AE285" s="27">
        <v>5.89</v>
      </c>
    </row>
    <row r="286" spans="1:31" ht="15" customHeight="1">
      <c r="A286" s="27">
        <v>28</v>
      </c>
      <c r="B286" s="27">
        <v>13</v>
      </c>
      <c r="C286" s="19" t="s">
        <v>31</v>
      </c>
      <c r="E286" s="27">
        <v>100</v>
      </c>
      <c r="H286" s="27" t="s">
        <v>32</v>
      </c>
      <c r="I286" s="27">
        <v>60000</v>
      </c>
      <c r="L286" s="27" t="s">
        <v>117</v>
      </c>
      <c r="S286" s="27">
        <v>130</v>
      </c>
      <c r="T286" s="27" t="s">
        <v>57</v>
      </c>
      <c r="U286" s="27" t="s">
        <v>37</v>
      </c>
      <c r="V286" s="27" t="s">
        <v>88</v>
      </c>
      <c r="W286" s="27">
        <v>93.3</v>
      </c>
      <c r="X286" s="27" t="s">
        <v>118</v>
      </c>
      <c r="AE286" s="27">
        <v>6.7</v>
      </c>
    </row>
    <row r="287" spans="1:31" ht="15" customHeight="1">
      <c r="A287" s="27">
        <v>28</v>
      </c>
      <c r="B287" s="27">
        <v>14</v>
      </c>
      <c r="C287" s="19" t="s">
        <v>31</v>
      </c>
      <c r="E287" s="27">
        <v>100</v>
      </c>
      <c r="H287" s="27" t="s">
        <v>32</v>
      </c>
      <c r="I287" s="27">
        <v>60000</v>
      </c>
      <c r="L287" s="27" t="s">
        <v>117</v>
      </c>
      <c r="S287" s="27">
        <v>130</v>
      </c>
      <c r="T287" s="27" t="s">
        <v>57</v>
      </c>
      <c r="U287" s="27" t="s">
        <v>37</v>
      </c>
      <c r="V287" s="27" t="s">
        <v>88</v>
      </c>
      <c r="W287" s="27">
        <v>93.3</v>
      </c>
      <c r="X287" s="27" t="s">
        <v>118</v>
      </c>
      <c r="AE287" s="27">
        <v>6.7</v>
      </c>
    </row>
    <row r="288" spans="1:31" ht="15" customHeight="1">
      <c r="A288" s="27">
        <v>28</v>
      </c>
      <c r="B288" s="27">
        <v>15</v>
      </c>
      <c r="C288" s="19" t="s">
        <v>31</v>
      </c>
      <c r="E288" s="27">
        <v>100</v>
      </c>
      <c r="H288" s="27" t="s">
        <v>32</v>
      </c>
      <c r="I288" s="27">
        <v>60000</v>
      </c>
      <c r="L288" s="27" t="s">
        <v>117</v>
      </c>
      <c r="S288" s="27">
        <v>130</v>
      </c>
      <c r="T288" s="27" t="s">
        <v>57</v>
      </c>
      <c r="U288" s="27" t="s">
        <v>37</v>
      </c>
      <c r="V288" s="27" t="s">
        <v>88</v>
      </c>
      <c r="W288" s="27">
        <v>93.3</v>
      </c>
      <c r="X288" s="27" t="s">
        <v>118</v>
      </c>
      <c r="AE288" s="27">
        <v>6.7</v>
      </c>
    </row>
    <row r="289" spans="1:31" ht="15" customHeight="1">
      <c r="A289" s="27">
        <v>28</v>
      </c>
      <c r="B289" s="27">
        <v>16</v>
      </c>
      <c r="C289" s="19" t="s">
        <v>31</v>
      </c>
      <c r="E289" s="27">
        <v>100</v>
      </c>
      <c r="H289" s="27" t="s">
        <v>32</v>
      </c>
      <c r="I289" s="27">
        <v>60000</v>
      </c>
      <c r="L289" s="27" t="s">
        <v>117</v>
      </c>
      <c r="S289" s="27">
        <v>130</v>
      </c>
      <c r="T289" s="27" t="s">
        <v>57</v>
      </c>
      <c r="U289" s="27" t="s">
        <v>37</v>
      </c>
      <c r="V289" s="27" t="s">
        <v>88</v>
      </c>
      <c r="W289" s="27">
        <v>93.3</v>
      </c>
      <c r="X289" s="27" t="s">
        <v>118</v>
      </c>
      <c r="AE289" s="27">
        <v>6.7</v>
      </c>
    </row>
    <row r="290" spans="1:31" ht="15" customHeight="1">
      <c r="A290" s="27">
        <v>28</v>
      </c>
      <c r="B290" s="27">
        <v>17</v>
      </c>
      <c r="C290" s="19" t="s">
        <v>31</v>
      </c>
      <c r="E290" s="27">
        <v>100</v>
      </c>
      <c r="H290" s="27" t="s">
        <v>32</v>
      </c>
      <c r="I290" s="27">
        <v>60000</v>
      </c>
      <c r="L290" s="27" t="s">
        <v>117</v>
      </c>
      <c r="S290" s="27">
        <v>130</v>
      </c>
      <c r="T290" s="27" t="s">
        <v>57</v>
      </c>
      <c r="U290" s="27" t="s">
        <v>37</v>
      </c>
      <c r="V290" s="27" t="s">
        <v>88</v>
      </c>
      <c r="W290" s="27">
        <v>93.3</v>
      </c>
      <c r="X290" s="27" t="s">
        <v>118</v>
      </c>
      <c r="AE290" s="27">
        <v>6.7</v>
      </c>
    </row>
    <row r="291" spans="1:31" ht="15" customHeight="1">
      <c r="A291" s="27">
        <v>28</v>
      </c>
      <c r="B291" s="27">
        <v>18</v>
      </c>
      <c r="C291" s="19" t="s">
        <v>31</v>
      </c>
      <c r="E291" s="27">
        <v>100</v>
      </c>
      <c r="H291" s="27" t="s">
        <v>32</v>
      </c>
      <c r="I291" s="27">
        <v>60000</v>
      </c>
      <c r="L291" s="27" t="s">
        <v>117</v>
      </c>
      <c r="S291" s="27">
        <v>130</v>
      </c>
      <c r="T291" s="27" t="s">
        <v>57</v>
      </c>
      <c r="U291" s="27" t="s">
        <v>37</v>
      </c>
      <c r="V291" s="27" t="s">
        <v>88</v>
      </c>
      <c r="W291" s="27">
        <v>93.3</v>
      </c>
      <c r="X291" s="27" t="s">
        <v>118</v>
      </c>
      <c r="AE291" s="27">
        <v>6.7</v>
      </c>
    </row>
    <row r="292" spans="1:31" s="41" customFormat="1" ht="15" customHeight="1">
      <c r="A292" s="41">
        <v>29</v>
      </c>
      <c r="B292" s="41">
        <v>1</v>
      </c>
      <c r="C292" s="18" t="s">
        <v>31</v>
      </c>
      <c r="D292" s="41" t="s">
        <v>36</v>
      </c>
      <c r="E292" s="41">
        <v>81</v>
      </c>
      <c r="F292" s="41">
        <v>19</v>
      </c>
      <c r="L292" s="41" t="s">
        <v>75</v>
      </c>
      <c r="S292" s="41">
        <v>5</v>
      </c>
      <c r="T292" s="41" t="s">
        <v>46</v>
      </c>
      <c r="U292" s="41" t="s">
        <v>35</v>
      </c>
    </row>
    <row r="293" spans="1:31" ht="15" customHeight="1">
      <c r="A293" s="27">
        <v>29</v>
      </c>
      <c r="B293" s="27">
        <v>2</v>
      </c>
      <c r="C293" s="19" t="s">
        <v>31</v>
      </c>
      <c r="D293" s="27" t="s">
        <v>36</v>
      </c>
      <c r="E293" s="27">
        <v>81</v>
      </c>
      <c r="F293" s="27">
        <v>19</v>
      </c>
      <c r="L293" s="27" t="s">
        <v>75</v>
      </c>
      <c r="S293" s="27">
        <v>5</v>
      </c>
      <c r="T293" s="27" t="s">
        <v>46</v>
      </c>
      <c r="U293" s="27" t="s">
        <v>37</v>
      </c>
      <c r="V293" s="27" t="s">
        <v>119</v>
      </c>
      <c r="W293" s="27">
        <v>16.7</v>
      </c>
      <c r="X293" s="27" t="s">
        <v>98</v>
      </c>
      <c r="AE293" s="27">
        <v>83.3</v>
      </c>
    </row>
    <row r="294" spans="1:31" ht="15" customHeight="1">
      <c r="A294" s="27">
        <v>29</v>
      </c>
      <c r="B294" s="27">
        <v>3</v>
      </c>
      <c r="C294" s="19" t="s">
        <v>31</v>
      </c>
      <c r="D294" s="27" t="s">
        <v>36</v>
      </c>
      <c r="E294" s="27">
        <v>81</v>
      </c>
      <c r="F294" s="27">
        <v>19</v>
      </c>
      <c r="L294" s="27" t="s">
        <v>75</v>
      </c>
      <c r="S294" s="27">
        <v>5</v>
      </c>
      <c r="T294" s="27" t="s">
        <v>46</v>
      </c>
      <c r="U294" s="27" t="s">
        <v>37</v>
      </c>
      <c r="V294" s="27" t="s">
        <v>120</v>
      </c>
      <c r="W294" s="27">
        <v>16.7</v>
      </c>
      <c r="X294" s="27" t="s">
        <v>65</v>
      </c>
      <c r="AE294" s="27">
        <v>83.3</v>
      </c>
    </row>
    <row r="295" spans="1:31" s="41" customFormat="1" ht="15" customHeight="1">
      <c r="A295" s="41">
        <v>30</v>
      </c>
      <c r="B295" s="41">
        <v>1</v>
      </c>
      <c r="C295" s="18" t="s">
        <v>31</v>
      </c>
      <c r="E295" s="41">
        <v>100</v>
      </c>
      <c r="H295" s="41" t="s">
        <v>32</v>
      </c>
      <c r="I295" s="41">
        <v>86</v>
      </c>
      <c r="L295" s="41" t="s">
        <v>75</v>
      </c>
      <c r="S295" s="41">
        <v>1.75</v>
      </c>
      <c r="T295" s="41" t="s">
        <v>46</v>
      </c>
      <c r="U295" s="41" t="s">
        <v>37</v>
      </c>
      <c r="V295" s="41" t="s">
        <v>121</v>
      </c>
      <c r="W295" s="41">
        <v>73.91</v>
      </c>
      <c r="X295" s="41" t="s">
        <v>122</v>
      </c>
      <c r="Y295" s="41" t="s">
        <v>123</v>
      </c>
      <c r="Z295" s="41">
        <v>8.6999999999999993</v>
      </c>
      <c r="AA295" s="41" t="s">
        <v>124</v>
      </c>
      <c r="AB295" s="41" t="s">
        <v>125</v>
      </c>
      <c r="AC295" s="41">
        <v>4.3499999999999996</v>
      </c>
      <c r="AD295" s="41" t="s">
        <v>72</v>
      </c>
      <c r="AE295" s="41">
        <v>13.04</v>
      </c>
    </row>
    <row r="296" spans="1:31" ht="15" customHeight="1">
      <c r="A296" s="27">
        <v>30</v>
      </c>
      <c r="B296" s="27">
        <v>2</v>
      </c>
      <c r="C296" s="19" t="s">
        <v>31</v>
      </c>
      <c r="E296" s="27">
        <v>100</v>
      </c>
      <c r="H296" s="27" t="s">
        <v>32</v>
      </c>
      <c r="I296" s="27">
        <v>86</v>
      </c>
      <c r="L296" s="27" t="s">
        <v>75</v>
      </c>
      <c r="S296" s="27">
        <v>1.75</v>
      </c>
      <c r="T296" s="27" t="s">
        <v>46</v>
      </c>
      <c r="U296" s="27" t="s">
        <v>37</v>
      </c>
      <c r="V296" s="27" t="s">
        <v>121</v>
      </c>
      <c r="W296" s="27">
        <v>73.91</v>
      </c>
      <c r="X296" s="27" t="s">
        <v>122</v>
      </c>
      <c r="Y296" s="27" t="s">
        <v>123</v>
      </c>
      <c r="Z296" s="27">
        <v>8.6999999999999993</v>
      </c>
      <c r="AA296" s="27" t="s">
        <v>124</v>
      </c>
      <c r="AB296" s="27" t="s">
        <v>125</v>
      </c>
      <c r="AC296" s="27">
        <v>4.3499999999999996</v>
      </c>
      <c r="AD296" s="27" t="s">
        <v>72</v>
      </c>
      <c r="AE296" s="27">
        <v>13.04</v>
      </c>
    </row>
    <row r="297" spans="1:31" s="41" customFormat="1" ht="15" customHeight="1">
      <c r="A297" s="18">
        <v>31</v>
      </c>
      <c r="B297" s="18">
        <v>1</v>
      </c>
      <c r="C297" s="18" t="s">
        <v>31</v>
      </c>
      <c r="D297" s="41" t="s">
        <v>36</v>
      </c>
      <c r="E297" s="41">
        <v>88</v>
      </c>
      <c r="F297" s="41">
        <v>12</v>
      </c>
      <c r="L297" s="41" t="s">
        <v>67</v>
      </c>
      <c r="S297" s="41">
        <v>1.89</v>
      </c>
      <c r="T297" s="41" t="s">
        <v>34</v>
      </c>
      <c r="U297" s="41" t="s">
        <v>35</v>
      </c>
      <c r="AE297" s="41">
        <v>100</v>
      </c>
    </row>
    <row r="298" spans="1:31" ht="15" customHeight="1">
      <c r="A298" s="19">
        <v>31</v>
      </c>
      <c r="B298" s="19">
        <v>2</v>
      </c>
      <c r="C298" s="19" t="s">
        <v>31</v>
      </c>
      <c r="D298" s="27" t="s">
        <v>36</v>
      </c>
      <c r="E298" s="27">
        <v>88</v>
      </c>
      <c r="F298" s="27">
        <v>12</v>
      </c>
      <c r="L298" s="27" t="s">
        <v>67</v>
      </c>
      <c r="S298" s="27">
        <v>1.89</v>
      </c>
      <c r="T298" s="27" t="s">
        <v>34</v>
      </c>
      <c r="U298" s="27" t="s">
        <v>35</v>
      </c>
      <c r="AE298" s="27">
        <v>100</v>
      </c>
    </row>
    <row r="299" spans="1:31" ht="15" customHeight="1">
      <c r="A299" s="19">
        <v>31</v>
      </c>
      <c r="B299" s="19">
        <v>3</v>
      </c>
      <c r="C299" s="19" t="s">
        <v>31</v>
      </c>
      <c r="D299" s="27" t="s">
        <v>36</v>
      </c>
      <c r="E299" s="27">
        <v>88</v>
      </c>
      <c r="F299" s="27">
        <v>12</v>
      </c>
      <c r="L299" s="27" t="s">
        <v>67</v>
      </c>
      <c r="S299" s="27">
        <v>1.89</v>
      </c>
      <c r="T299" s="27" t="s">
        <v>34</v>
      </c>
      <c r="U299" s="27" t="s">
        <v>35</v>
      </c>
      <c r="AE299" s="27">
        <v>100</v>
      </c>
    </row>
    <row r="300" spans="1:31" ht="15" customHeight="1">
      <c r="A300" s="19">
        <v>31</v>
      </c>
      <c r="B300" s="19">
        <v>4</v>
      </c>
      <c r="C300" s="19" t="s">
        <v>31</v>
      </c>
      <c r="D300" s="27" t="s">
        <v>36</v>
      </c>
      <c r="E300" s="27">
        <v>88</v>
      </c>
      <c r="F300" s="27">
        <v>12</v>
      </c>
      <c r="L300" s="27" t="s">
        <v>67</v>
      </c>
      <c r="S300" s="27">
        <v>2.2000000000000002</v>
      </c>
      <c r="T300" s="27" t="s">
        <v>34</v>
      </c>
      <c r="U300" s="27" t="s">
        <v>37</v>
      </c>
      <c r="V300" s="27" t="s">
        <v>126</v>
      </c>
      <c r="W300" s="27">
        <v>6.6</v>
      </c>
      <c r="X300" s="27" t="s">
        <v>39</v>
      </c>
      <c r="AE300" s="27">
        <v>93.4</v>
      </c>
    </row>
    <row r="301" spans="1:31" ht="15" customHeight="1">
      <c r="A301" s="19">
        <v>31</v>
      </c>
      <c r="B301" s="19">
        <v>5</v>
      </c>
      <c r="C301" s="19" t="s">
        <v>31</v>
      </c>
      <c r="D301" s="27" t="s">
        <v>36</v>
      </c>
      <c r="E301" s="27">
        <v>88</v>
      </c>
      <c r="F301" s="27">
        <v>12</v>
      </c>
      <c r="L301" s="27" t="s">
        <v>67</v>
      </c>
      <c r="S301" s="27">
        <v>2.2000000000000002</v>
      </c>
      <c r="T301" s="27" t="s">
        <v>34</v>
      </c>
      <c r="U301" s="27" t="s">
        <v>37</v>
      </c>
      <c r="V301" s="27" t="s">
        <v>126</v>
      </c>
      <c r="W301" s="27">
        <v>6.6</v>
      </c>
      <c r="X301" s="27" t="s">
        <v>39</v>
      </c>
      <c r="AE301" s="27">
        <v>93.4</v>
      </c>
    </row>
    <row r="302" spans="1:31" ht="15" customHeight="1">
      <c r="A302" s="19">
        <v>31</v>
      </c>
      <c r="B302" s="19">
        <v>6</v>
      </c>
      <c r="C302" s="19" t="s">
        <v>31</v>
      </c>
      <c r="D302" s="27" t="s">
        <v>36</v>
      </c>
      <c r="E302" s="27">
        <v>88</v>
      </c>
      <c r="F302" s="27">
        <v>12</v>
      </c>
      <c r="L302" s="27" t="s">
        <v>67</v>
      </c>
      <c r="S302" s="27">
        <v>2.2000000000000002</v>
      </c>
      <c r="T302" s="27" t="s">
        <v>34</v>
      </c>
      <c r="U302" s="27" t="s">
        <v>37</v>
      </c>
      <c r="V302" s="27" t="s">
        <v>126</v>
      </c>
      <c r="W302" s="27">
        <v>6.6</v>
      </c>
      <c r="X302" s="27" t="s">
        <v>39</v>
      </c>
      <c r="AE302" s="27">
        <v>93.4</v>
      </c>
    </row>
    <row r="303" spans="1:31" s="41" customFormat="1" ht="15" customHeight="1">
      <c r="A303" s="41">
        <v>32</v>
      </c>
      <c r="B303" s="41">
        <v>1</v>
      </c>
      <c r="C303" s="18" t="s">
        <v>31</v>
      </c>
      <c r="E303" s="41">
        <v>100</v>
      </c>
      <c r="G303" s="41">
        <v>437000</v>
      </c>
      <c r="H303" s="41" t="s">
        <v>32</v>
      </c>
      <c r="L303" s="41" t="s">
        <v>102</v>
      </c>
      <c r="S303" s="41">
        <v>68.53</v>
      </c>
      <c r="T303" s="41" t="s">
        <v>57</v>
      </c>
      <c r="U303" s="41" t="s">
        <v>37</v>
      </c>
      <c r="V303" s="41" t="s">
        <v>127</v>
      </c>
      <c r="W303" s="41">
        <v>33.33</v>
      </c>
      <c r="X303" s="41" t="s">
        <v>128</v>
      </c>
      <c r="Y303" s="41" t="s">
        <v>74</v>
      </c>
      <c r="Z303" s="41">
        <v>33.33</v>
      </c>
      <c r="AA303" s="41" t="s">
        <v>69</v>
      </c>
      <c r="AE303" s="41">
        <v>33.33</v>
      </c>
    </row>
    <row r="304" spans="1:31" ht="15" customHeight="1">
      <c r="A304" s="27">
        <v>32</v>
      </c>
      <c r="B304" s="27">
        <v>2</v>
      </c>
      <c r="C304" s="19" t="s">
        <v>31</v>
      </c>
      <c r="E304" s="27">
        <v>100</v>
      </c>
      <c r="G304" s="27">
        <v>437000</v>
      </c>
      <c r="H304" s="27" t="s">
        <v>32</v>
      </c>
      <c r="L304" s="27" t="s">
        <v>102</v>
      </c>
      <c r="S304" s="27">
        <v>68.53</v>
      </c>
      <c r="T304" s="27" t="s">
        <v>57</v>
      </c>
      <c r="U304" s="27" t="s">
        <v>37</v>
      </c>
      <c r="V304" s="27" t="s">
        <v>127</v>
      </c>
      <c r="W304" s="27">
        <v>33.33</v>
      </c>
      <c r="X304" s="27" t="s">
        <v>128</v>
      </c>
      <c r="Y304" s="27" t="s">
        <v>74</v>
      </c>
      <c r="Z304" s="27">
        <v>33.33</v>
      </c>
      <c r="AA304" s="27" t="s">
        <v>69</v>
      </c>
      <c r="AE304" s="27">
        <v>33.33</v>
      </c>
    </row>
    <row r="305" spans="1:31" ht="15" customHeight="1">
      <c r="A305" s="27">
        <v>32</v>
      </c>
      <c r="B305" s="27">
        <v>3</v>
      </c>
      <c r="C305" s="19" t="s">
        <v>31</v>
      </c>
      <c r="E305" s="27">
        <v>100</v>
      </c>
      <c r="G305" s="27">
        <v>437000</v>
      </c>
      <c r="H305" s="27" t="s">
        <v>32</v>
      </c>
      <c r="L305" s="27" t="s">
        <v>102</v>
      </c>
      <c r="S305" s="27">
        <v>68.53</v>
      </c>
      <c r="T305" s="27" t="s">
        <v>57</v>
      </c>
      <c r="U305" s="27" t="s">
        <v>37</v>
      </c>
      <c r="V305" s="27" t="s">
        <v>127</v>
      </c>
      <c r="W305" s="27">
        <v>33.33</v>
      </c>
      <c r="X305" s="27" t="s">
        <v>128</v>
      </c>
      <c r="Y305" s="27" t="s">
        <v>74</v>
      </c>
      <c r="Z305" s="27">
        <v>33.33</v>
      </c>
      <c r="AA305" s="27" t="s">
        <v>69</v>
      </c>
      <c r="AE305" s="27">
        <v>33.33</v>
      </c>
    </row>
    <row r="306" spans="1:31" ht="15" customHeight="1">
      <c r="A306" s="27">
        <v>32</v>
      </c>
      <c r="B306" s="27">
        <v>4</v>
      </c>
      <c r="C306" s="19" t="s">
        <v>31</v>
      </c>
      <c r="E306" s="27">
        <v>100</v>
      </c>
      <c r="G306" s="27">
        <v>437000</v>
      </c>
      <c r="H306" s="27" t="s">
        <v>32</v>
      </c>
      <c r="L306" s="27" t="s">
        <v>102</v>
      </c>
      <c r="S306" s="27">
        <v>68.53</v>
      </c>
      <c r="T306" s="27" t="s">
        <v>57</v>
      </c>
      <c r="U306" s="27" t="s">
        <v>37</v>
      </c>
      <c r="V306" s="27" t="s">
        <v>127</v>
      </c>
      <c r="W306" s="27">
        <v>33.33</v>
      </c>
      <c r="X306" s="27" t="s">
        <v>128</v>
      </c>
      <c r="Y306" s="27" t="s">
        <v>74</v>
      </c>
      <c r="Z306" s="27">
        <v>33.33</v>
      </c>
      <c r="AA306" s="27" t="s">
        <v>69</v>
      </c>
      <c r="AE306" s="27">
        <v>33.33</v>
      </c>
    </row>
    <row r="307" spans="1:31" ht="15" customHeight="1">
      <c r="A307" s="27">
        <v>32</v>
      </c>
      <c r="B307" s="27">
        <v>5</v>
      </c>
      <c r="C307" s="19" t="s">
        <v>31</v>
      </c>
      <c r="E307" s="27">
        <v>100</v>
      </c>
      <c r="G307" s="27">
        <v>437000</v>
      </c>
      <c r="H307" s="27" t="s">
        <v>32</v>
      </c>
      <c r="L307" s="27" t="s">
        <v>102</v>
      </c>
      <c r="S307" s="27">
        <v>68.53</v>
      </c>
      <c r="T307" s="27" t="s">
        <v>57</v>
      </c>
      <c r="U307" s="27" t="s">
        <v>37</v>
      </c>
      <c r="V307" s="27" t="s">
        <v>127</v>
      </c>
      <c r="W307" s="27">
        <v>33.33</v>
      </c>
      <c r="X307" s="27" t="s">
        <v>128</v>
      </c>
      <c r="Y307" s="27" t="s">
        <v>74</v>
      </c>
      <c r="Z307" s="27">
        <v>33.33</v>
      </c>
      <c r="AA307" s="27" t="s">
        <v>69</v>
      </c>
      <c r="AE307" s="27">
        <v>33.33</v>
      </c>
    </row>
    <row r="308" spans="1:31" ht="15" customHeight="1">
      <c r="A308" s="27">
        <v>32</v>
      </c>
      <c r="B308" s="27">
        <v>6</v>
      </c>
      <c r="C308" s="19" t="s">
        <v>31</v>
      </c>
      <c r="E308" s="27">
        <v>100</v>
      </c>
      <c r="G308" s="27">
        <v>437000</v>
      </c>
      <c r="H308" s="27" t="s">
        <v>32</v>
      </c>
      <c r="L308" s="27" t="s">
        <v>102</v>
      </c>
      <c r="S308" s="27">
        <v>68.53</v>
      </c>
      <c r="T308" s="27" t="s">
        <v>57</v>
      </c>
      <c r="U308" s="27" t="s">
        <v>37</v>
      </c>
      <c r="V308" s="27" t="s">
        <v>127</v>
      </c>
      <c r="W308" s="27">
        <v>33.33</v>
      </c>
      <c r="X308" s="27" t="s">
        <v>128</v>
      </c>
      <c r="Y308" s="27" t="s">
        <v>74</v>
      </c>
      <c r="Z308" s="27">
        <v>33.33</v>
      </c>
      <c r="AA308" s="27" t="s">
        <v>69</v>
      </c>
      <c r="AE308" s="27">
        <v>33.33</v>
      </c>
    </row>
    <row r="309" spans="1:31" ht="15" customHeight="1">
      <c r="A309" s="27">
        <v>32</v>
      </c>
      <c r="B309" s="27">
        <v>7</v>
      </c>
      <c r="C309" s="19" t="s">
        <v>31</v>
      </c>
      <c r="E309" s="27">
        <v>100</v>
      </c>
      <c r="G309" s="27">
        <v>437000</v>
      </c>
      <c r="H309" s="27" t="s">
        <v>32</v>
      </c>
      <c r="L309" s="27" t="s">
        <v>102</v>
      </c>
      <c r="S309" s="27">
        <v>68.53</v>
      </c>
      <c r="T309" s="27" t="s">
        <v>57</v>
      </c>
      <c r="U309" s="27" t="s">
        <v>37</v>
      </c>
      <c r="V309" s="27" t="s">
        <v>127</v>
      </c>
      <c r="W309" s="27">
        <v>33.33</v>
      </c>
      <c r="X309" s="27" t="s">
        <v>128</v>
      </c>
      <c r="Y309" s="27" t="s">
        <v>74</v>
      </c>
      <c r="Z309" s="27">
        <v>33.33</v>
      </c>
      <c r="AA309" s="27" t="s">
        <v>69</v>
      </c>
      <c r="AE309" s="27">
        <v>33.33</v>
      </c>
    </row>
    <row r="310" spans="1:31" ht="15" customHeight="1">
      <c r="A310" s="27">
        <v>32</v>
      </c>
      <c r="B310" s="27">
        <v>8</v>
      </c>
      <c r="C310" s="19" t="s">
        <v>31</v>
      </c>
      <c r="E310" s="27">
        <v>100</v>
      </c>
      <c r="G310" s="27">
        <v>437000</v>
      </c>
      <c r="H310" s="27" t="s">
        <v>32</v>
      </c>
      <c r="L310" s="27" t="s">
        <v>102</v>
      </c>
      <c r="S310" s="27">
        <v>68.53</v>
      </c>
      <c r="T310" s="27" t="s">
        <v>57</v>
      </c>
      <c r="U310" s="27" t="s">
        <v>37</v>
      </c>
      <c r="V310" s="27" t="s">
        <v>127</v>
      </c>
      <c r="W310" s="27">
        <v>33.33</v>
      </c>
      <c r="X310" s="27" t="s">
        <v>128</v>
      </c>
      <c r="Y310" s="27" t="s">
        <v>74</v>
      </c>
      <c r="Z310" s="27">
        <v>33.33</v>
      </c>
      <c r="AA310" s="27" t="s">
        <v>69</v>
      </c>
      <c r="AE310" s="27">
        <v>33.33</v>
      </c>
    </row>
    <row r="311" spans="1:31" ht="15" customHeight="1">
      <c r="A311" s="27">
        <v>32</v>
      </c>
      <c r="B311" s="27">
        <v>9</v>
      </c>
      <c r="C311" s="19" t="s">
        <v>31</v>
      </c>
      <c r="E311" s="27">
        <v>100</v>
      </c>
      <c r="G311" s="27">
        <v>437000</v>
      </c>
      <c r="H311" s="27" t="s">
        <v>32</v>
      </c>
      <c r="L311" s="27" t="s">
        <v>102</v>
      </c>
      <c r="S311" s="27">
        <v>68.53</v>
      </c>
      <c r="T311" s="27" t="s">
        <v>57</v>
      </c>
      <c r="U311" s="27" t="s">
        <v>37</v>
      </c>
      <c r="V311" s="27" t="s">
        <v>127</v>
      </c>
      <c r="W311" s="27">
        <v>33.33</v>
      </c>
      <c r="X311" s="27" t="s">
        <v>128</v>
      </c>
      <c r="Y311" s="27" t="s">
        <v>74</v>
      </c>
      <c r="Z311" s="27">
        <v>33.33</v>
      </c>
      <c r="AA311" s="27" t="s">
        <v>69</v>
      </c>
      <c r="AE311" s="27">
        <v>33.33</v>
      </c>
    </row>
    <row r="312" spans="1:31" ht="15" customHeight="1">
      <c r="A312" s="27">
        <v>32</v>
      </c>
      <c r="B312" s="27">
        <v>10</v>
      </c>
      <c r="C312" s="19" t="s">
        <v>31</v>
      </c>
      <c r="E312" s="27">
        <v>100</v>
      </c>
      <c r="G312" s="27">
        <v>437000</v>
      </c>
      <c r="H312" s="27" t="s">
        <v>32</v>
      </c>
      <c r="L312" s="27" t="s">
        <v>102</v>
      </c>
      <c r="S312" s="27">
        <v>68.53</v>
      </c>
      <c r="T312" s="27" t="s">
        <v>57</v>
      </c>
      <c r="U312" s="27" t="s">
        <v>37</v>
      </c>
      <c r="V312" s="27" t="s">
        <v>127</v>
      </c>
      <c r="W312" s="27">
        <v>33.33</v>
      </c>
      <c r="X312" s="27" t="s">
        <v>128</v>
      </c>
      <c r="Y312" s="27" t="s">
        <v>74</v>
      </c>
      <c r="Z312" s="27">
        <v>33.33</v>
      </c>
      <c r="AA312" s="27" t="s">
        <v>69</v>
      </c>
      <c r="AE312" s="27">
        <v>33.33</v>
      </c>
    </row>
    <row r="313" spans="1:31" ht="15" customHeight="1">
      <c r="A313" s="27">
        <v>32</v>
      </c>
      <c r="B313" s="27">
        <v>11</v>
      </c>
      <c r="C313" s="19" t="s">
        <v>31</v>
      </c>
      <c r="E313" s="27">
        <v>100</v>
      </c>
      <c r="G313" s="27">
        <v>437000</v>
      </c>
      <c r="H313" s="27" t="s">
        <v>32</v>
      </c>
      <c r="L313" s="27" t="s">
        <v>102</v>
      </c>
      <c r="S313" s="27">
        <v>68.53</v>
      </c>
      <c r="T313" s="27" t="s">
        <v>57</v>
      </c>
      <c r="U313" s="27" t="s">
        <v>37</v>
      </c>
      <c r="V313" s="27" t="s">
        <v>127</v>
      </c>
      <c r="W313" s="27">
        <v>33.33</v>
      </c>
      <c r="X313" s="27" t="s">
        <v>128</v>
      </c>
      <c r="Y313" s="27" t="s">
        <v>74</v>
      </c>
      <c r="Z313" s="27">
        <v>33.33</v>
      </c>
      <c r="AA313" s="27" t="s">
        <v>69</v>
      </c>
      <c r="AE313" s="27">
        <v>33.33</v>
      </c>
    </row>
    <row r="314" spans="1:31" ht="15" customHeight="1">
      <c r="A314" s="27">
        <v>32</v>
      </c>
      <c r="B314" s="27">
        <v>12</v>
      </c>
      <c r="C314" s="19" t="s">
        <v>31</v>
      </c>
      <c r="E314" s="27">
        <v>100</v>
      </c>
      <c r="G314" s="27">
        <v>437000</v>
      </c>
      <c r="H314" s="27" t="s">
        <v>32</v>
      </c>
      <c r="L314" s="27" t="s">
        <v>102</v>
      </c>
      <c r="S314" s="27">
        <v>68.53</v>
      </c>
      <c r="T314" s="27" t="s">
        <v>57</v>
      </c>
      <c r="U314" s="27" t="s">
        <v>37</v>
      </c>
      <c r="V314" s="27" t="s">
        <v>127</v>
      </c>
      <c r="W314" s="27">
        <v>33.33</v>
      </c>
      <c r="X314" s="27" t="s">
        <v>128</v>
      </c>
      <c r="Y314" s="27" t="s">
        <v>74</v>
      </c>
      <c r="Z314" s="27">
        <v>33.33</v>
      </c>
      <c r="AA314" s="27" t="s">
        <v>69</v>
      </c>
      <c r="AE314" s="27">
        <v>33.33</v>
      </c>
    </row>
    <row r="315" spans="1:31" ht="15" customHeight="1">
      <c r="A315" s="27">
        <v>32</v>
      </c>
      <c r="B315" s="27">
        <v>13</v>
      </c>
      <c r="C315" s="19" t="s">
        <v>31</v>
      </c>
      <c r="E315" s="27">
        <v>100</v>
      </c>
      <c r="G315" s="27">
        <v>437000</v>
      </c>
      <c r="H315" s="27" t="s">
        <v>32</v>
      </c>
      <c r="L315" s="27" t="s">
        <v>102</v>
      </c>
      <c r="S315" s="27">
        <v>68.53</v>
      </c>
      <c r="T315" s="27" t="s">
        <v>57</v>
      </c>
      <c r="U315" s="27" t="s">
        <v>37</v>
      </c>
      <c r="V315" s="27" t="s">
        <v>127</v>
      </c>
      <c r="W315" s="27">
        <v>33.33</v>
      </c>
      <c r="X315" s="27" t="s">
        <v>128</v>
      </c>
      <c r="Y315" s="27" t="s">
        <v>74</v>
      </c>
      <c r="Z315" s="27">
        <v>33.33</v>
      </c>
      <c r="AA315" s="27" t="s">
        <v>69</v>
      </c>
      <c r="AE315" s="27">
        <v>33.33</v>
      </c>
    </row>
    <row r="316" spans="1:31" ht="15" customHeight="1">
      <c r="A316" s="27">
        <v>32</v>
      </c>
      <c r="B316" s="27">
        <v>14</v>
      </c>
      <c r="C316" s="19" t="s">
        <v>31</v>
      </c>
      <c r="E316" s="27">
        <v>100</v>
      </c>
      <c r="G316" s="27">
        <v>437000</v>
      </c>
      <c r="H316" s="27" t="s">
        <v>32</v>
      </c>
      <c r="L316" s="27" t="s">
        <v>102</v>
      </c>
      <c r="S316" s="27">
        <v>68.53</v>
      </c>
      <c r="T316" s="27" t="s">
        <v>57</v>
      </c>
      <c r="U316" s="27" t="s">
        <v>37</v>
      </c>
      <c r="V316" s="27" t="s">
        <v>127</v>
      </c>
      <c r="W316" s="27">
        <v>33.33</v>
      </c>
      <c r="X316" s="27" t="s">
        <v>128</v>
      </c>
      <c r="Y316" s="27" t="s">
        <v>74</v>
      </c>
      <c r="Z316" s="27">
        <v>33.33</v>
      </c>
      <c r="AA316" s="27" t="s">
        <v>69</v>
      </c>
      <c r="AE316" s="27">
        <v>33.33</v>
      </c>
    </row>
    <row r="317" spans="1:31" ht="15" customHeight="1">
      <c r="A317" s="27">
        <v>32</v>
      </c>
      <c r="B317" s="27">
        <v>15</v>
      </c>
      <c r="C317" s="19" t="s">
        <v>31</v>
      </c>
      <c r="E317" s="27">
        <v>100</v>
      </c>
      <c r="G317" s="27">
        <v>437000</v>
      </c>
      <c r="H317" s="27" t="s">
        <v>32</v>
      </c>
      <c r="L317" s="27" t="s">
        <v>102</v>
      </c>
      <c r="S317" s="27">
        <v>68.53</v>
      </c>
      <c r="T317" s="27" t="s">
        <v>57</v>
      </c>
      <c r="U317" s="27" t="s">
        <v>37</v>
      </c>
      <c r="V317" s="27" t="s">
        <v>127</v>
      </c>
      <c r="W317" s="27">
        <v>33.33</v>
      </c>
      <c r="X317" s="27" t="s">
        <v>128</v>
      </c>
      <c r="Y317" s="27" t="s">
        <v>74</v>
      </c>
      <c r="Z317" s="27">
        <v>33.33</v>
      </c>
      <c r="AA317" s="27" t="s">
        <v>69</v>
      </c>
      <c r="AE317" s="27">
        <v>33.33</v>
      </c>
    </row>
    <row r="318" spans="1:31" ht="15" customHeight="1">
      <c r="A318" s="27">
        <v>32</v>
      </c>
      <c r="B318" s="27">
        <v>16</v>
      </c>
      <c r="C318" s="19" t="s">
        <v>31</v>
      </c>
      <c r="E318" s="27">
        <v>100</v>
      </c>
      <c r="G318" s="27">
        <v>437000</v>
      </c>
      <c r="H318" s="27" t="s">
        <v>32</v>
      </c>
      <c r="L318" s="27" t="s">
        <v>102</v>
      </c>
      <c r="S318" s="27">
        <v>68.53</v>
      </c>
      <c r="T318" s="27" t="s">
        <v>57</v>
      </c>
      <c r="U318" s="27" t="s">
        <v>37</v>
      </c>
      <c r="V318" s="27" t="s">
        <v>127</v>
      </c>
      <c r="W318" s="27">
        <v>33.33</v>
      </c>
      <c r="X318" s="27" t="s">
        <v>128</v>
      </c>
      <c r="Y318" s="27" t="s">
        <v>74</v>
      </c>
      <c r="Z318" s="27">
        <v>33.33</v>
      </c>
      <c r="AA318" s="27" t="s">
        <v>69</v>
      </c>
      <c r="AE318" s="27">
        <v>33.33</v>
      </c>
    </row>
    <row r="319" spans="1:31" ht="15" customHeight="1">
      <c r="A319" s="27">
        <v>32</v>
      </c>
      <c r="B319" s="27">
        <v>17</v>
      </c>
      <c r="C319" s="19" t="s">
        <v>31</v>
      </c>
      <c r="E319" s="27">
        <v>100</v>
      </c>
      <c r="G319" s="27">
        <v>437000</v>
      </c>
      <c r="H319" s="27" t="s">
        <v>32</v>
      </c>
      <c r="L319" s="27" t="s">
        <v>102</v>
      </c>
      <c r="S319" s="27">
        <v>68.53</v>
      </c>
      <c r="T319" s="27" t="s">
        <v>57</v>
      </c>
      <c r="U319" s="27" t="s">
        <v>37</v>
      </c>
      <c r="V319" s="27" t="s">
        <v>127</v>
      </c>
      <c r="W319" s="27">
        <v>33.33</v>
      </c>
      <c r="X319" s="27" t="s">
        <v>128</v>
      </c>
      <c r="Y319" s="27" t="s">
        <v>74</v>
      </c>
      <c r="Z319" s="27">
        <v>33.33</v>
      </c>
      <c r="AA319" s="27" t="s">
        <v>69</v>
      </c>
      <c r="AE319" s="27">
        <v>33.33</v>
      </c>
    </row>
    <row r="320" spans="1:31" ht="15" customHeight="1">
      <c r="A320" s="27">
        <v>32</v>
      </c>
      <c r="B320" s="27">
        <v>18</v>
      </c>
      <c r="C320" s="19" t="s">
        <v>31</v>
      </c>
      <c r="E320" s="27">
        <v>100</v>
      </c>
      <c r="G320" s="27">
        <v>437000</v>
      </c>
      <c r="H320" s="27" t="s">
        <v>32</v>
      </c>
      <c r="L320" s="27" t="s">
        <v>102</v>
      </c>
      <c r="S320" s="27">
        <v>68.53</v>
      </c>
      <c r="T320" s="27" t="s">
        <v>57</v>
      </c>
      <c r="U320" s="27" t="s">
        <v>37</v>
      </c>
      <c r="V320" s="27" t="s">
        <v>127</v>
      </c>
      <c r="W320" s="27">
        <v>33.33</v>
      </c>
      <c r="X320" s="27" t="s">
        <v>128</v>
      </c>
      <c r="Y320" s="27" t="s">
        <v>74</v>
      </c>
      <c r="Z320" s="27">
        <v>33.33</v>
      </c>
      <c r="AA320" s="27" t="s">
        <v>69</v>
      </c>
      <c r="AE320" s="27">
        <v>32.9</v>
      </c>
    </row>
    <row r="321" spans="1:31" ht="15" customHeight="1">
      <c r="A321" s="27">
        <v>32</v>
      </c>
      <c r="B321" s="27">
        <v>19</v>
      </c>
      <c r="C321" s="19" t="s">
        <v>31</v>
      </c>
      <c r="E321" s="27">
        <v>100</v>
      </c>
      <c r="G321" s="27">
        <v>437000</v>
      </c>
      <c r="H321" s="27" t="s">
        <v>32</v>
      </c>
      <c r="L321" s="27" t="s">
        <v>102</v>
      </c>
      <c r="S321" s="27">
        <v>178.15</v>
      </c>
      <c r="T321" s="27" t="s">
        <v>57</v>
      </c>
      <c r="U321" s="27" t="s">
        <v>37</v>
      </c>
      <c r="V321" s="27" t="s">
        <v>127</v>
      </c>
      <c r="W321" s="27">
        <v>32.9</v>
      </c>
      <c r="X321" s="27" t="s">
        <v>128</v>
      </c>
      <c r="Y321" s="27" t="s">
        <v>74</v>
      </c>
      <c r="Z321" s="27">
        <v>32.9</v>
      </c>
      <c r="AA321" s="27" t="s">
        <v>69</v>
      </c>
      <c r="AB321" s="27" t="s">
        <v>129</v>
      </c>
      <c r="AC321" s="27">
        <v>1.32</v>
      </c>
      <c r="AD321" s="27" t="s">
        <v>130</v>
      </c>
      <c r="AE321" s="27">
        <v>32.9</v>
      </c>
    </row>
    <row r="322" spans="1:31" ht="15" customHeight="1">
      <c r="A322" s="27">
        <v>32</v>
      </c>
      <c r="B322" s="27">
        <v>20</v>
      </c>
      <c r="C322" s="19" t="s">
        <v>31</v>
      </c>
      <c r="E322" s="27">
        <v>100</v>
      </c>
      <c r="G322" s="27">
        <v>437000</v>
      </c>
      <c r="H322" s="27" t="s">
        <v>32</v>
      </c>
      <c r="L322" s="27" t="s">
        <v>102</v>
      </c>
      <c r="S322" s="27">
        <v>178.15</v>
      </c>
      <c r="T322" s="27" t="s">
        <v>57</v>
      </c>
      <c r="U322" s="27" t="s">
        <v>37</v>
      </c>
      <c r="V322" s="27" t="s">
        <v>127</v>
      </c>
      <c r="W322" s="27">
        <v>32.9</v>
      </c>
      <c r="X322" s="27" t="s">
        <v>128</v>
      </c>
      <c r="Y322" s="27" t="s">
        <v>74</v>
      </c>
      <c r="Z322" s="27">
        <v>32.9</v>
      </c>
      <c r="AA322" s="27" t="s">
        <v>69</v>
      </c>
      <c r="AB322" s="27" t="s">
        <v>129</v>
      </c>
      <c r="AC322" s="27">
        <v>1.32</v>
      </c>
      <c r="AD322" s="27" t="s">
        <v>130</v>
      </c>
      <c r="AE322" s="27">
        <v>32.9</v>
      </c>
    </row>
    <row r="323" spans="1:31" ht="15" customHeight="1">
      <c r="A323" s="27">
        <v>32</v>
      </c>
      <c r="B323" s="27">
        <v>21</v>
      </c>
      <c r="C323" s="19" t="s">
        <v>31</v>
      </c>
      <c r="E323" s="27">
        <v>100</v>
      </c>
      <c r="G323" s="27">
        <v>437000</v>
      </c>
      <c r="H323" s="27" t="s">
        <v>32</v>
      </c>
      <c r="L323" s="27" t="s">
        <v>102</v>
      </c>
      <c r="S323" s="27">
        <v>178.15</v>
      </c>
      <c r="T323" s="27" t="s">
        <v>57</v>
      </c>
      <c r="U323" s="27" t="s">
        <v>37</v>
      </c>
      <c r="V323" s="27" t="s">
        <v>127</v>
      </c>
      <c r="W323" s="27">
        <v>32.9</v>
      </c>
      <c r="X323" s="27" t="s">
        <v>128</v>
      </c>
      <c r="Y323" s="27" t="s">
        <v>74</v>
      </c>
      <c r="Z323" s="27">
        <v>32.9</v>
      </c>
      <c r="AA323" s="27" t="s">
        <v>69</v>
      </c>
      <c r="AB323" s="27" t="s">
        <v>129</v>
      </c>
      <c r="AC323" s="27">
        <v>1.32</v>
      </c>
      <c r="AD323" s="27" t="s">
        <v>130</v>
      </c>
      <c r="AE323" s="27">
        <v>32.9</v>
      </c>
    </row>
    <row r="324" spans="1:31" ht="15" customHeight="1">
      <c r="A324" s="27">
        <v>32</v>
      </c>
      <c r="B324" s="27">
        <v>22</v>
      </c>
      <c r="C324" s="19" t="s">
        <v>31</v>
      </c>
      <c r="E324" s="27">
        <v>100</v>
      </c>
      <c r="G324" s="27">
        <v>437000</v>
      </c>
      <c r="H324" s="27" t="s">
        <v>32</v>
      </c>
      <c r="L324" s="27" t="s">
        <v>102</v>
      </c>
      <c r="S324" s="27">
        <v>178.15</v>
      </c>
      <c r="T324" s="27" t="s">
        <v>57</v>
      </c>
      <c r="U324" s="27" t="s">
        <v>37</v>
      </c>
      <c r="V324" s="27" t="s">
        <v>127</v>
      </c>
      <c r="W324" s="27">
        <v>32.9</v>
      </c>
      <c r="X324" s="27" t="s">
        <v>128</v>
      </c>
      <c r="Y324" s="27" t="s">
        <v>74</v>
      </c>
      <c r="Z324" s="27">
        <v>32.9</v>
      </c>
      <c r="AA324" s="27" t="s">
        <v>69</v>
      </c>
      <c r="AB324" s="27" t="s">
        <v>129</v>
      </c>
      <c r="AC324" s="27">
        <v>1.32</v>
      </c>
      <c r="AD324" s="27" t="s">
        <v>130</v>
      </c>
      <c r="AE324" s="27">
        <v>32.9</v>
      </c>
    </row>
    <row r="325" spans="1:31" ht="15" customHeight="1">
      <c r="A325" s="27">
        <v>32</v>
      </c>
      <c r="B325" s="27">
        <v>23</v>
      </c>
      <c r="C325" s="19" t="s">
        <v>31</v>
      </c>
      <c r="E325" s="27">
        <v>100</v>
      </c>
      <c r="G325" s="27">
        <v>437000</v>
      </c>
      <c r="H325" s="27" t="s">
        <v>32</v>
      </c>
      <c r="L325" s="27" t="s">
        <v>102</v>
      </c>
      <c r="S325" s="27">
        <v>178.15</v>
      </c>
      <c r="T325" s="27" t="s">
        <v>57</v>
      </c>
      <c r="U325" s="27" t="s">
        <v>37</v>
      </c>
      <c r="V325" s="27" t="s">
        <v>127</v>
      </c>
      <c r="W325" s="27">
        <v>32.9</v>
      </c>
      <c r="X325" s="27" t="s">
        <v>128</v>
      </c>
      <c r="Y325" s="27" t="s">
        <v>74</v>
      </c>
      <c r="Z325" s="27">
        <v>32.9</v>
      </c>
      <c r="AA325" s="27" t="s">
        <v>69</v>
      </c>
      <c r="AB325" s="27" t="s">
        <v>129</v>
      </c>
      <c r="AC325" s="27">
        <v>1.32</v>
      </c>
      <c r="AD325" s="27" t="s">
        <v>130</v>
      </c>
      <c r="AE325" s="27">
        <v>32.9</v>
      </c>
    </row>
    <row r="326" spans="1:31" ht="15" customHeight="1">
      <c r="A326" s="27">
        <v>32</v>
      </c>
      <c r="B326" s="27">
        <v>24</v>
      </c>
      <c r="C326" s="19" t="s">
        <v>31</v>
      </c>
      <c r="E326" s="27">
        <v>100</v>
      </c>
      <c r="G326" s="27">
        <v>437000</v>
      </c>
      <c r="H326" s="27" t="s">
        <v>32</v>
      </c>
      <c r="L326" s="27" t="s">
        <v>102</v>
      </c>
      <c r="S326" s="27">
        <v>178.15</v>
      </c>
      <c r="T326" s="27" t="s">
        <v>57</v>
      </c>
      <c r="U326" s="27" t="s">
        <v>37</v>
      </c>
      <c r="V326" s="27" t="s">
        <v>127</v>
      </c>
      <c r="W326" s="27">
        <v>32.9</v>
      </c>
      <c r="X326" s="27" t="s">
        <v>128</v>
      </c>
      <c r="Y326" s="27" t="s">
        <v>74</v>
      </c>
      <c r="Z326" s="27">
        <v>32.9</v>
      </c>
      <c r="AA326" s="27" t="s">
        <v>69</v>
      </c>
      <c r="AB326" s="27" t="s">
        <v>129</v>
      </c>
      <c r="AC326" s="27">
        <v>1.32</v>
      </c>
      <c r="AD326" s="27" t="s">
        <v>130</v>
      </c>
      <c r="AE326" s="27">
        <v>32.9</v>
      </c>
    </row>
    <row r="327" spans="1:31" ht="15" customHeight="1">
      <c r="A327" s="27">
        <v>32</v>
      </c>
      <c r="B327" s="27">
        <v>25</v>
      </c>
      <c r="C327" s="19" t="s">
        <v>31</v>
      </c>
      <c r="E327" s="27">
        <v>100</v>
      </c>
      <c r="G327" s="27">
        <v>437000</v>
      </c>
      <c r="H327" s="27" t="s">
        <v>32</v>
      </c>
      <c r="L327" s="27" t="s">
        <v>102</v>
      </c>
      <c r="S327" s="27">
        <v>178.15</v>
      </c>
      <c r="T327" s="27" t="s">
        <v>57</v>
      </c>
      <c r="U327" s="27" t="s">
        <v>37</v>
      </c>
      <c r="V327" s="27" t="s">
        <v>127</v>
      </c>
      <c r="W327" s="27">
        <v>32.9</v>
      </c>
      <c r="X327" s="27" t="s">
        <v>128</v>
      </c>
      <c r="Y327" s="27" t="s">
        <v>74</v>
      </c>
      <c r="Z327" s="27">
        <v>32.9</v>
      </c>
      <c r="AA327" s="27" t="s">
        <v>69</v>
      </c>
      <c r="AB327" s="27" t="s">
        <v>129</v>
      </c>
      <c r="AC327" s="27">
        <v>1.32</v>
      </c>
      <c r="AD327" s="27" t="s">
        <v>130</v>
      </c>
      <c r="AE327" s="27">
        <v>32.9</v>
      </c>
    </row>
    <row r="328" spans="1:31" ht="15" customHeight="1">
      <c r="A328" s="27">
        <v>32</v>
      </c>
      <c r="B328" s="27">
        <v>26</v>
      </c>
      <c r="C328" s="19" t="s">
        <v>31</v>
      </c>
      <c r="E328" s="27">
        <v>100</v>
      </c>
      <c r="G328" s="27">
        <v>437000</v>
      </c>
      <c r="H328" s="27" t="s">
        <v>32</v>
      </c>
      <c r="L328" s="27" t="s">
        <v>102</v>
      </c>
      <c r="S328" s="27">
        <v>178.15</v>
      </c>
      <c r="T328" s="27" t="s">
        <v>57</v>
      </c>
      <c r="U328" s="27" t="s">
        <v>37</v>
      </c>
      <c r="V328" s="27" t="s">
        <v>127</v>
      </c>
      <c r="W328" s="27">
        <v>32.9</v>
      </c>
      <c r="X328" s="27" t="s">
        <v>128</v>
      </c>
      <c r="Y328" s="27" t="s">
        <v>74</v>
      </c>
      <c r="Z328" s="27">
        <v>32.9</v>
      </c>
      <c r="AA328" s="27" t="s">
        <v>69</v>
      </c>
      <c r="AB328" s="27" t="s">
        <v>129</v>
      </c>
      <c r="AC328" s="27">
        <v>1.32</v>
      </c>
      <c r="AD328" s="27" t="s">
        <v>130</v>
      </c>
      <c r="AE328" s="27">
        <v>32.9</v>
      </c>
    </row>
    <row r="329" spans="1:31" ht="15" customHeight="1">
      <c r="A329" s="27">
        <v>32</v>
      </c>
      <c r="B329" s="27">
        <v>27</v>
      </c>
      <c r="C329" s="19" t="s">
        <v>31</v>
      </c>
      <c r="E329" s="27">
        <v>100</v>
      </c>
      <c r="G329" s="27">
        <v>437000</v>
      </c>
      <c r="H329" s="27" t="s">
        <v>32</v>
      </c>
      <c r="L329" s="27" t="s">
        <v>102</v>
      </c>
      <c r="S329" s="27">
        <v>178.15</v>
      </c>
      <c r="T329" s="27" t="s">
        <v>57</v>
      </c>
      <c r="U329" s="27" t="s">
        <v>37</v>
      </c>
      <c r="V329" s="27" t="s">
        <v>127</v>
      </c>
      <c r="W329" s="27">
        <v>32.9</v>
      </c>
      <c r="X329" s="27" t="s">
        <v>128</v>
      </c>
      <c r="Y329" s="27" t="s">
        <v>74</v>
      </c>
      <c r="Z329" s="27">
        <v>32.9</v>
      </c>
      <c r="AA329" s="27" t="s">
        <v>69</v>
      </c>
      <c r="AB329" s="27" t="s">
        <v>129</v>
      </c>
      <c r="AC329" s="27">
        <v>1.32</v>
      </c>
      <c r="AD329" s="27" t="s">
        <v>130</v>
      </c>
      <c r="AE329" s="27">
        <v>32.9</v>
      </c>
    </row>
    <row r="330" spans="1:31" ht="15" customHeight="1">
      <c r="A330" s="27">
        <v>32</v>
      </c>
      <c r="B330" s="27">
        <v>28</v>
      </c>
      <c r="C330" s="19" t="s">
        <v>31</v>
      </c>
      <c r="E330" s="27">
        <v>100</v>
      </c>
      <c r="G330" s="27">
        <v>437000</v>
      </c>
      <c r="H330" s="27" t="s">
        <v>32</v>
      </c>
      <c r="L330" s="27" t="s">
        <v>102</v>
      </c>
      <c r="S330" s="27">
        <v>178.15</v>
      </c>
      <c r="T330" s="27" t="s">
        <v>57</v>
      </c>
      <c r="U330" s="27" t="s">
        <v>37</v>
      </c>
      <c r="V330" s="27" t="s">
        <v>127</v>
      </c>
      <c r="W330" s="27">
        <v>32.9</v>
      </c>
      <c r="X330" s="27" t="s">
        <v>128</v>
      </c>
      <c r="Y330" s="27" t="s">
        <v>74</v>
      </c>
      <c r="Z330" s="27">
        <v>32.9</v>
      </c>
      <c r="AA330" s="27" t="s">
        <v>69</v>
      </c>
      <c r="AB330" s="27" t="s">
        <v>129</v>
      </c>
      <c r="AC330" s="27">
        <v>1.32</v>
      </c>
      <c r="AD330" s="27" t="s">
        <v>130</v>
      </c>
      <c r="AE330" s="27">
        <v>32.9</v>
      </c>
    </row>
    <row r="331" spans="1:31" ht="15" customHeight="1">
      <c r="A331" s="27">
        <v>32</v>
      </c>
      <c r="B331" s="27">
        <v>29</v>
      </c>
      <c r="C331" s="19" t="s">
        <v>31</v>
      </c>
      <c r="E331" s="27">
        <v>100</v>
      </c>
      <c r="G331" s="27">
        <v>437000</v>
      </c>
      <c r="H331" s="27" t="s">
        <v>32</v>
      </c>
      <c r="L331" s="27" t="s">
        <v>102</v>
      </c>
      <c r="S331" s="27">
        <v>178.15</v>
      </c>
      <c r="T331" s="27" t="s">
        <v>57</v>
      </c>
      <c r="U331" s="27" t="s">
        <v>37</v>
      </c>
      <c r="V331" s="27" t="s">
        <v>127</v>
      </c>
      <c r="W331" s="27">
        <v>32.9</v>
      </c>
      <c r="X331" s="27" t="s">
        <v>128</v>
      </c>
      <c r="Y331" s="27" t="s">
        <v>74</v>
      </c>
      <c r="Z331" s="27">
        <v>32.9</v>
      </c>
      <c r="AA331" s="27" t="s">
        <v>69</v>
      </c>
      <c r="AB331" s="27" t="s">
        <v>129</v>
      </c>
      <c r="AC331" s="27">
        <v>1.32</v>
      </c>
      <c r="AD331" s="27" t="s">
        <v>130</v>
      </c>
      <c r="AE331" s="27">
        <v>32.9</v>
      </c>
    </row>
    <row r="332" spans="1:31" ht="15" customHeight="1">
      <c r="A332" s="27">
        <v>32</v>
      </c>
      <c r="B332" s="27">
        <v>30</v>
      </c>
      <c r="C332" s="19" t="s">
        <v>31</v>
      </c>
      <c r="E332" s="27">
        <v>100</v>
      </c>
      <c r="G332" s="27">
        <v>437000</v>
      </c>
      <c r="H332" s="27" t="s">
        <v>32</v>
      </c>
      <c r="L332" s="27" t="s">
        <v>102</v>
      </c>
      <c r="S332" s="27">
        <v>178.15</v>
      </c>
      <c r="T332" s="27" t="s">
        <v>57</v>
      </c>
      <c r="U332" s="27" t="s">
        <v>37</v>
      </c>
      <c r="V332" s="27" t="s">
        <v>127</v>
      </c>
      <c r="W332" s="27">
        <v>32.9</v>
      </c>
      <c r="X332" s="27" t="s">
        <v>128</v>
      </c>
      <c r="Y332" s="27" t="s">
        <v>74</v>
      </c>
      <c r="Z332" s="27">
        <v>32.9</v>
      </c>
      <c r="AA332" s="27" t="s">
        <v>69</v>
      </c>
      <c r="AB332" s="27" t="s">
        <v>129</v>
      </c>
      <c r="AC332" s="27">
        <v>1.32</v>
      </c>
      <c r="AD332" s="27" t="s">
        <v>130</v>
      </c>
      <c r="AE332" s="27">
        <v>32.9</v>
      </c>
    </row>
    <row r="333" spans="1:31" ht="15" customHeight="1">
      <c r="A333" s="27">
        <v>32</v>
      </c>
      <c r="B333" s="27">
        <v>31</v>
      </c>
      <c r="C333" s="19" t="s">
        <v>31</v>
      </c>
      <c r="E333" s="27">
        <v>100</v>
      </c>
      <c r="G333" s="27">
        <v>437000</v>
      </c>
      <c r="H333" s="27" t="s">
        <v>32</v>
      </c>
      <c r="L333" s="27" t="s">
        <v>102</v>
      </c>
      <c r="S333" s="27">
        <v>178.15</v>
      </c>
      <c r="T333" s="27" t="s">
        <v>57</v>
      </c>
      <c r="U333" s="27" t="s">
        <v>37</v>
      </c>
      <c r="V333" s="27" t="s">
        <v>127</v>
      </c>
      <c r="W333" s="27">
        <v>32.9</v>
      </c>
      <c r="X333" s="27" t="s">
        <v>128</v>
      </c>
      <c r="Y333" s="27" t="s">
        <v>74</v>
      </c>
      <c r="Z333" s="27">
        <v>32.9</v>
      </c>
      <c r="AA333" s="27" t="s">
        <v>69</v>
      </c>
      <c r="AB333" s="27" t="s">
        <v>129</v>
      </c>
      <c r="AC333" s="27">
        <v>1.32</v>
      </c>
      <c r="AD333" s="27" t="s">
        <v>130</v>
      </c>
      <c r="AE333" s="27">
        <v>32.9</v>
      </c>
    </row>
    <row r="334" spans="1:31" ht="15" customHeight="1">
      <c r="A334" s="27">
        <v>32</v>
      </c>
      <c r="B334" s="27">
        <v>32</v>
      </c>
      <c r="C334" s="19" t="s">
        <v>31</v>
      </c>
      <c r="E334" s="27">
        <v>100</v>
      </c>
      <c r="G334" s="27">
        <v>437000</v>
      </c>
      <c r="H334" s="27" t="s">
        <v>32</v>
      </c>
      <c r="L334" s="27" t="s">
        <v>102</v>
      </c>
      <c r="S334" s="27">
        <v>178.15</v>
      </c>
      <c r="T334" s="27" t="s">
        <v>57</v>
      </c>
      <c r="U334" s="27" t="s">
        <v>37</v>
      </c>
      <c r="V334" s="27" t="s">
        <v>127</v>
      </c>
      <c r="W334" s="27">
        <v>32.9</v>
      </c>
      <c r="X334" s="27" t="s">
        <v>128</v>
      </c>
      <c r="Y334" s="27" t="s">
        <v>74</v>
      </c>
      <c r="Z334" s="27">
        <v>32.9</v>
      </c>
      <c r="AA334" s="27" t="s">
        <v>69</v>
      </c>
      <c r="AB334" s="27" t="s">
        <v>129</v>
      </c>
      <c r="AC334" s="27">
        <v>1.32</v>
      </c>
      <c r="AD334" s="27" t="s">
        <v>130</v>
      </c>
      <c r="AE334" s="27">
        <v>32.9</v>
      </c>
    </row>
    <row r="335" spans="1:31" ht="15" customHeight="1">
      <c r="A335" s="27">
        <v>32</v>
      </c>
      <c r="B335" s="27">
        <v>33</v>
      </c>
      <c r="C335" s="19" t="s">
        <v>31</v>
      </c>
      <c r="E335" s="27">
        <v>100</v>
      </c>
      <c r="G335" s="27">
        <v>437000</v>
      </c>
      <c r="H335" s="27" t="s">
        <v>32</v>
      </c>
      <c r="L335" s="27" t="s">
        <v>102</v>
      </c>
      <c r="S335" s="27">
        <v>178.15</v>
      </c>
      <c r="T335" s="27" t="s">
        <v>57</v>
      </c>
      <c r="U335" s="27" t="s">
        <v>37</v>
      </c>
      <c r="V335" s="27" t="s">
        <v>127</v>
      </c>
      <c r="W335" s="27">
        <v>32.9</v>
      </c>
      <c r="X335" s="27" t="s">
        <v>128</v>
      </c>
      <c r="Y335" s="27" t="s">
        <v>74</v>
      </c>
      <c r="Z335" s="27">
        <v>32.9</v>
      </c>
      <c r="AA335" s="27" t="s">
        <v>69</v>
      </c>
      <c r="AB335" s="27" t="s">
        <v>129</v>
      </c>
      <c r="AC335" s="27">
        <v>1.32</v>
      </c>
      <c r="AD335" s="27" t="s">
        <v>130</v>
      </c>
      <c r="AE335" s="27">
        <v>32.9</v>
      </c>
    </row>
    <row r="336" spans="1:31" ht="15" customHeight="1">
      <c r="A336" s="27">
        <v>32</v>
      </c>
      <c r="B336" s="27">
        <v>34</v>
      </c>
      <c r="C336" s="19" t="s">
        <v>31</v>
      </c>
      <c r="E336" s="27">
        <v>100</v>
      </c>
      <c r="G336" s="27">
        <v>437000</v>
      </c>
      <c r="H336" s="27" t="s">
        <v>32</v>
      </c>
      <c r="L336" s="27" t="s">
        <v>102</v>
      </c>
      <c r="S336" s="27">
        <v>178.15</v>
      </c>
      <c r="T336" s="27" t="s">
        <v>57</v>
      </c>
      <c r="U336" s="27" t="s">
        <v>37</v>
      </c>
      <c r="V336" s="27" t="s">
        <v>127</v>
      </c>
      <c r="W336" s="27">
        <v>32.9</v>
      </c>
      <c r="X336" s="27" t="s">
        <v>128</v>
      </c>
      <c r="Y336" s="27" t="s">
        <v>74</v>
      </c>
      <c r="Z336" s="27">
        <v>32.9</v>
      </c>
      <c r="AA336" s="27" t="s">
        <v>69</v>
      </c>
      <c r="AB336" s="27" t="s">
        <v>129</v>
      </c>
      <c r="AC336" s="27">
        <v>1.32</v>
      </c>
      <c r="AD336" s="27" t="s">
        <v>130</v>
      </c>
      <c r="AE336" s="27">
        <v>32.9</v>
      </c>
    </row>
    <row r="337" spans="1:31" ht="15" customHeight="1">
      <c r="A337" s="27">
        <v>32</v>
      </c>
      <c r="B337" s="27">
        <v>35</v>
      </c>
      <c r="C337" s="19" t="s">
        <v>31</v>
      </c>
      <c r="E337" s="27">
        <v>100</v>
      </c>
      <c r="G337" s="27">
        <v>437000</v>
      </c>
      <c r="H337" s="27" t="s">
        <v>32</v>
      </c>
      <c r="L337" s="27" t="s">
        <v>102</v>
      </c>
      <c r="S337" s="27">
        <v>178.15</v>
      </c>
      <c r="T337" s="27" t="s">
        <v>57</v>
      </c>
      <c r="U337" s="27" t="s">
        <v>37</v>
      </c>
      <c r="V337" s="27" t="s">
        <v>127</v>
      </c>
      <c r="W337" s="27">
        <v>32.9</v>
      </c>
      <c r="X337" s="27" t="s">
        <v>128</v>
      </c>
      <c r="Y337" s="27" t="s">
        <v>74</v>
      </c>
      <c r="Z337" s="27">
        <v>32.9</v>
      </c>
      <c r="AA337" s="27" t="s">
        <v>69</v>
      </c>
      <c r="AB337" s="27" t="s">
        <v>129</v>
      </c>
      <c r="AC337" s="27">
        <v>1.32</v>
      </c>
      <c r="AD337" s="27" t="s">
        <v>130</v>
      </c>
      <c r="AE337" s="27">
        <v>32.9</v>
      </c>
    </row>
    <row r="338" spans="1:31" ht="15" customHeight="1">
      <c r="A338" s="27">
        <v>32</v>
      </c>
      <c r="B338" s="27">
        <v>36</v>
      </c>
      <c r="C338" s="19" t="s">
        <v>31</v>
      </c>
      <c r="E338" s="27">
        <v>100</v>
      </c>
      <c r="G338" s="27">
        <v>437000</v>
      </c>
      <c r="H338" s="27" t="s">
        <v>32</v>
      </c>
      <c r="L338" s="27" t="s">
        <v>102</v>
      </c>
      <c r="S338" s="27">
        <v>178.15</v>
      </c>
      <c r="T338" s="27" t="s">
        <v>57</v>
      </c>
      <c r="U338" s="27" t="s">
        <v>37</v>
      </c>
      <c r="V338" s="27" t="s">
        <v>127</v>
      </c>
      <c r="W338" s="27">
        <v>32.9</v>
      </c>
      <c r="X338" s="27" t="s">
        <v>128</v>
      </c>
      <c r="Y338" s="27" t="s">
        <v>74</v>
      </c>
      <c r="Z338" s="27">
        <v>32.9</v>
      </c>
      <c r="AA338" s="27" t="s">
        <v>69</v>
      </c>
      <c r="AB338" s="27" t="s">
        <v>129</v>
      </c>
      <c r="AC338" s="27">
        <v>1.32</v>
      </c>
      <c r="AD338" s="27" t="s">
        <v>130</v>
      </c>
      <c r="AE338" s="27">
        <v>32.9</v>
      </c>
    </row>
    <row r="339" spans="1:31" ht="15" customHeight="1">
      <c r="A339" s="27">
        <v>32</v>
      </c>
      <c r="B339" s="27">
        <v>37</v>
      </c>
      <c r="C339" s="19" t="s">
        <v>31</v>
      </c>
      <c r="D339" s="27" t="s">
        <v>36</v>
      </c>
      <c r="E339" s="27">
        <v>85</v>
      </c>
      <c r="F339" s="27">
        <v>15</v>
      </c>
      <c r="L339" s="27" t="s">
        <v>102</v>
      </c>
      <c r="S339" s="27">
        <v>40.75</v>
      </c>
      <c r="T339" s="27" t="s">
        <v>57</v>
      </c>
      <c r="U339" s="27" t="s">
        <v>37</v>
      </c>
      <c r="V339" s="27" t="s">
        <v>127</v>
      </c>
      <c r="W339" s="27">
        <v>33.33</v>
      </c>
      <c r="X339" s="27" t="s">
        <v>128</v>
      </c>
      <c r="Y339" s="27" t="s">
        <v>74</v>
      </c>
      <c r="Z339" s="27">
        <v>33.33</v>
      </c>
      <c r="AA339" s="27" t="s">
        <v>69</v>
      </c>
      <c r="AE339" s="27">
        <v>33.33</v>
      </c>
    </row>
    <row r="340" spans="1:31" ht="15" customHeight="1">
      <c r="A340" s="27">
        <v>32</v>
      </c>
      <c r="B340" s="27">
        <v>38</v>
      </c>
      <c r="C340" s="19" t="s">
        <v>31</v>
      </c>
      <c r="D340" s="27" t="s">
        <v>36</v>
      </c>
      <c r="E340" s="27">
        <v>85</v>
      </c>
      <c r="F340" s="27">
        <v>15</v>
      </c>
      <c r="L340" s="27" t="s">
        <v>102</v>
      </c>
      <c r="S340" s="27">
        <v>40.75</v>
      </c>
      <c r="T340" s="27" t="s">
        <v>57</v>
      </c>
      <c r="U340" s="27" t="s">
        <v>37</v>
      </c>
      <c r="V340" s="27" t="s">
        <v>127</v>
      </c>
      <c r="W340" s="27">
        <v>33.33</v>
      </c>
      <c r="X340" s="27" t="s">
        <v>128</v>
      </c>
      <c r="Y340" s="27" t="s">
        <v>74</v>
      </c>
      <c r="Z340" s="27">
        <v>33.33</v>
      </c>
      <c r="AA340" s="27" t="s">
        <v>69</v>
      </c>
      <c r="AE340" s="27">
        <v>33.33</v>
      </c>
    </row>
    <row r="341" spans="1:31" ht="15" customHeight="1">
      <c r="A341" s="27">
        <v>32</v>
      </c>
      <c r="B341" s="27">
        <v>39</v>
      </c>
      <c r="C341" s="19" t="s">
        <v>31</v>
      </c>
      <c r="D341" s="27" t="s">
        <v>36</v>
      </c>
      <c r="E341" s="27">
        <v>85</v>
      </c>
      <c r="F341" s="27">
        <v>15</v>
      </c>
      <c r="L341" s="27" t="s">
        <v>102</v>
      </c>
      <c r="S341" s="27">
        <v>40.75</v>
      </c>
      <c r="T341" s="27" t="s">
        <v>57</v>
      </c>
      <c r="U341" s="27" t="s">
        <v>37</v>
      </c>
      <c r="V341" s="27" t="s">
        <v>127</v>
      </c>
      <c r="W341" s="27">
        <v>33.33</v>
      </c>
      <c r="X341" s="27" t="s">
        <v>128</v>
      </c>
      <c r="Y341" s="27" t="s">
        <v>74</v>
      </c>
      <c r="Z341" s="27">
        <v>33.33</v>
      </c>
      <c r="AA341" s="27" t="s">
        <v>69</v>
      </c>
      <c r="AE341" s="27">
        <v>33.33</v>
      </c>
    </row>
    <row r="342" spans="1:31" ht="15" customHeight="1">
      <c r="A342" s="27">
        <v>32</v>
      </c>
      <c r="B342" s="27">
        <v>40</v>
      </c>
      <c r="C342" s="19" t="s">
        <v>31</v>
      </c>
      <c r="D342" s="27" t="s">
        <v>36</v>
      </c>
      <c r="E342" s="27">
        <v>85</v>
      </c>
      <c r="F342" s="27">
        <v>15</v>
      </c>
      <c r="L342" s="27" t="s">
        <v>102</v>
      </c>
      <c r="S342" s="27">
        <v>40.75</v>
      </c>
      <c r="T342" s="27" t="s">
        <v>57</v>
      </c>
      <c r="U342" s="27" t="s">
        <v>37</v>
      </c>
      <c r="V342" s="27" t="s">
        <v>127</v>
      </c>
      <c r="W342" s="27">
        <v>33.33</v>
      </c>
      <c r="X342" s="27" t="s">
        <v>128</v>
      </c>
      <c r="Y342" s="27" t="s">
        <v>74</v>
      </c>
      <c r="Z342" s="27">
        <v>33.33</v>
      </c>
      <c r="AA342" s="27" t="s">
        <v>69</v>
      </c>
      <c r="AE342" s="27">
        <v>33.33</v>
      </c>
    </row>
    <row r="343" spans="1:31" ht="15" customHeight="1">
      <c r="A343" s="27">
        <v>32</v>
      </c>
      <c r="B343" s="27">
        <v>41</v>
      </c>
      <c r="C343" s="19" t="s">
        <v>31</v>
      </c>
      <c r="D343" s="27" t="s">
        <v>36</v>
      </c>
      <c r="E343" s="27">
        <v>85</v>
      </c>
      <c r="F343" s="27">
        <v>15</v>
      </c>
      <c r="L343" s="27" t="s">
        <v>102</v>
      </c>
      <c r="S343" s="27">
        <v>40.75</v>
      </c>
      <c r="T343" s="27" t="s">
        <v>57</v>
      </c>
      <c r="U343" s="27" t="s">
        <v>37</v>
      </c>
      <c r="V343" s="27" t="s">
        <v>127</v>
      </c>
      <c r="W343" s="27">
        <v>33.33</v>
      </c>
      <c r="X343" s="27" t="s">
        <v>128</v>
      </c>
      <c r="Y343" s="27" t="s">
        <v>74</v>
      </c>
      <c r="Z343" s="27">
        <v>33.33</v>
      </c>
      <c r="AA343" s="27" t="s">
        <v>69</v>
      </c>
      <c r="AE343" s="27">
        <v>33.33</v>
      </c>
    </row>
    <row r="344" spans="1:31" ht="15" customHeight="1">
      <c r="A344" s="27">
        <v>32</v>
      </c>
      <c r="B344" s="27">
        <v>42</v>
      </c>
      <c r="C344" s="19" t="s">
        <v>31</v>
      </c>
      <c r="D344" s="27" t="s">
        <v>36</v>
      </c>
      <c r="E344" s="27">
        <v>85</v>
      </c>
      <c r="F344" s="27">
        <v>15</v>
      </c>
      <c r="L344" s="27" t="s">
        <v>102</v>
      </c>
      <c r="S344" s="27">
        <v>40.75</v>
      </c>
      <c r="T344" s="27" t="s">
        <v>57</v>
      </c>
      <c r="U344" s="27" t="s">
        <v>37</v>
      </c>
      <c r="V344" s="27" t="s">
        <v>127</v>
      </c>
      <c r="W344" s="27">
        <v>33.33</v>
      </c>
      <c r="X344" s="27" t="s">
        <v>128</v>
      </c>
      <c r="Y344" s="27" t="s">
        <v>74</v>
      </c>
      <c r="Z344" s="27">
        <v>33.33</v>
      </c>
      <c r="AA344" s="27" t="s">
        <v>69</v>
      </c>
      <c r="AE344" s="27">
        <v>33.33</v>
      </c>
    </row>
    <row r="345" spans="1:31" ht="15" customHeight="1">
      <c r="A345" s="27">
        <v>32</v>
      </c>
      <c r="B345" s="27">
        <v>43</v>
      </c>
      <c r="C345" s="19" t="s">
        <v>31</v>
      </c>
      <c r="D345" s="27" t="s">
        <v>36</v>
      </c>
      <c r="E345" s="27">
        <v>85</v>
      </c>
      <c r="F345" s="27">
        <v>15</v>
      </c>
      <c r="L345" s="27" t="s">
        <v>102</v>
      </c>
      <c r="S345" s="27">
        <v>40.75</v>
      </c>
      <c r="T345" s="27" t="s">
        <v>57</v>
      </c>
      <c r="U345" s="27" t="s">
        <v>37</v>
      </c>
      <c r="V345" s="27" t="s">
        <v>127</v>
      </c>
      <c r="W345" s="27">
        <v>33.33</v>
      </c>
      <c r="X345" s="27" t="s">
        <v>128</v>
      </c>
      <c r="Y345" s="27" t="s">
        <v>74</v>
      </c>
      <c r="Z345" s="27">
        <v>33.33</v>
      </c>
      <c r="AA345" s="27" t="s">
        <v>69</v>
      </c>
      <c r="AE345" s="27">
        <v>33.33</v>
      </c>
    </row>
    <row r="346" spans="1:31" ht="15" customHeight="1">
      <c r="A346" s="27">
        <v>32</v>
      </c>
      <c r="B346" s="27">
        <v>44</v>
      </c>
      <c r="C346" s="19" t="s">
        <v>31</v>
      </c>
      <c r="D346" s="27" t="s">
        <v>36</v>
      </c>
      <c r="E346" s="27">
        <v>85</v>
      </c>
      <c r="F346" s="27">
        <v>15</v>
      </c>
      <c r="L346" s="27" t="s">
        <v>102</v>
      </c>
      <c r="S346" s="27">
        <v>40.75</v>
      </c>
      <c r="T346" s="27" t="s">
        <v>57</v>
      </c>
      <c r="U346" s="27" t="s">
        <v>37</v>
      </c>
      <c r="V346" s="27" t="s">
        <v>127</v>
      </c>
      <c r="W346" s="27">
        <v>33.33</v>
      </c>
      <c r="X346" s="27" t="s">
        <v>128</v>
      </c>
      <c r="Y346" s="27" t="s">
        <v>74</v>
      </c>
      <c r="Z346" s="27">
        <v>33.33</v>
      </c>
      <c r="AA346" s="27" t="s">
        <v>69</v>
      </c>
      <c r="AE346" s="27">
        <v>33.33</v>
      </c>
    </row>
    <row r="347" spans="1:31" ht="15" customHeight="1">
      <c r="A347" s="27">
        <v>32</v>
      </c>
      <c r="B347" s="27">
        <v>45</v>
      </c>
      <c r="C347" s="19" t="s">
        <v>31</v>
      </c>
      <c r="D347" s="27" t="s">
        <v>36</v>
      </c>
      <c r="E347" s="27">
        <v>85</v>
      </c>
      <c r="F347" s="27">
        <v>15</v>
      </c>
      <c r="L347" s="27" t="s">
        <v>102</v>
      </c>
      <c r="S347" s="27">
        <v>40.75</v>
      </c>
      <c r="T347" s="27" t="s">
        <v>57</v>
      </c>
      <c r="U347" s="27" t="s">
        <v>37</v>
      </c>
      <c r="V347" s="27" t="s">
        <v>127</v>
      </c>
      <c r="W347" s="27">
        <v>33.33</v>
      </c>
      <c r="X347" s="27" t="s">
        <v>128</v>
      </c>
      <c r="Y347" s="27" t="s">
        <v>74</v>
      </c>
      <c r="Z347" s="27">
        <v>33.33</v>
      </c>
      <c r="AA347" s="27" t="s">
        <v>69</v>
      </c>
      <c r="AE347" s="27">
        <v>33.33</v>
      </c>
    </row>
    <row r="348" spans="1:31" ht="15" customHeight="1">
      <c r="A348" s="27">
        <v>32</v>
      </c>
      <c r="B348" s="27">
        <v>46</v>
      </c>
      <c r="C348" s="19" t="s">
        <v>31</v>
      </c>
      <c r="D348" s="27" t="s">
        <v>36</v>
      </c>
      <c r="E348" s="27">
        <v>85</v>
      </c>
      <c r="F348" s="27">
        <v>15</v>
      </c>
      <c r="L348" s="27" t="s">
        <v>102</v>
      </c>
      <c r="S348" s="27">
        <v>40.75</v>
      </c>
      <c r="T348" s="27" t="s">
        <v>57</v>
      </c>
      <c r="U348" s="27" t="s">
        <v>37</v>
      </c>
      <c r="V348" s="27" t="s">
        <v>127</v>
      </c>
      <c r="W348" s="27">
        <v>33.33</v>
      </c>
      <c r="X348" s="27" t="s">
        <v>128</v>
      </c>
      <c r="Y348" s="27" t="s">
        <v>74</v>
      </c>
      <c r="Z348" s="27">
        <v>33.33</v>
      </c>
      <c r="AA348" s="27" t="s">
        <v>69</v>
      </c>
      <c r="AE348" s="27">
        <v>33.33</v>
      </c>
    </row>
    <row r="349" spans="1:31" ht="15" customHeight="1">
      <c r="A349" s="27">
        <v>32</v>
      </c>
      <c r="B349" s="27">
        <v>47</v>
      </c>
      <c r="C349" s="19" t="s">
        <v>31</v>
      </c>
      <c r="D349" s="27" t="s">
        <v>36</v>
      </c>
      <c r="E349" s="27">
        <v>85</v>
      </c>
      <c r="F349" s="27">
        <v>15</v>
      </c>
      <c r="L349" s="27" t="s">
        <v>102</v>
      </c>
      <c r="S349" s="27">
        <v>40.75</v>
      </c>
      <c r="T349" s="27" t="s">
        <v>57</v>
      </c>
      <c r="U349" s="27" t="s">
        <v>37</v>
      </c>
      <c r="V349" s="27" t="s">
        <v>127</v>
      </c>
      <c r="W349" s="27">
        <v>33.33</v>
      </c>
      <c r="X349" s="27" t="s">
        <v>128</v>
      </c>
      <c r="Y349" s="27" t="s">
        <v>74</v>
      </c>
      <c r="Z349" s="27">
        <v>33.33</v>
      </c>
      <c r="AA349" s="27" t="s">
        <v>69</v>
      </c>
      <c r="AE349" s="27">
        <v>33.33</v>
      </c>
    </row>
    <row r="350" spans="1:31" ht="15" customHeight="1">
      <c r="A350" s="27">
        <v>32</v>
      </c>
      <c r="B350" s="27">
        <v>48</v>
      </c>
      <c r="C350" s="19" t="s">
        <v>31</v>
      </c>
      <c r="D350" s="27" t="s">
        <v>36</v>
      </c>
      <c r="E350" s="27">
        <v>85</v>
      </c>
      <c r="F350" s="27">
        <v>15</v>
      </c>
      <c r="L350" s="27" t="s">
        <v>102</v>
      </c>
      <c r="S350" s="27">
        <v>40.75</v>
      </c>
      <c r="T350" s="27" t="s">
        <v>57</v>
      </c>
      <c r="U350" s="27" t="s">
        <v>37</v>
      </c>
      <c r="V350" s="27" t="s">
        <v>127</v>
      </c>
      <c r="W350" s="27">
        <v>33.33</v>
      </c>
      <c r="X350" s="27" t="s">
        <v>128</v>
      </c>
      <c r="Y350" s="27" t="s">
        <v>74</v>
      </c>
      <c r="Z350" s="27">
        <v>33.33</v>
      </c>
      <c r="AA350" s="27" t="s">
        <v>69</v>
      </c>
      <c r="AE350" s="27">
        <v>33.33</v>
      </c>
    </row>
    <row r="351" spans="1:31" ht="15" customHeight="1">
      <c r="A351" s="27">
        <v>32</v>
      </c>
      <c r="B351" s="27">
        <v>49</v>
      </c>
      <c r="C351" s="19" t="s">
        <v>31</v>
      </c>
      <c r="D351" s="27" t="s">
        <v>36</v>
      </c>
      <c r="E351" s="27">
        <v>85</v>
      </c>
      <c r="F351" s="27">
        <v>15</v>
      </c>
      <c r="L351" s="27" t="s">
        <v>102</v>
      </c>
      <c r="S351" s="27">
        <v>40.75</v>
      </c>
      <c r="T351" s="27" t="s">
        <v>57</v>
      </c>
      <c r="U351" s="27" t="s">
        <v>37</v>
      </c>
      <c r="V351" s="27" t="s">
        <v>127</v>
      </c>
      <c r="W351" s="27">
        <v>33.33</v>
      </c>
      <c r="X351" s="27" t="s">
        <v>128</v>
      </c>
      <c r="Y351" s="27" t="s">
        <v>74</v>
      </c>
      <c r="Z351" s="27">
        <v>33.33</v>
      </c>
      <c r="AA351" s="27" t="s">
        <v>69</v>
      </c>
      <c r="AE351" s="27">
        <v>33.33</v>
      </c>
    </row>
    <row r="352" spans="1:31" ht="15" customHeight="1">
      <c r="A352" s="27">
        <v>32</v>
      </c>
      <c r="B352" s="27">
        <v>50</v>
      </c>
      <c r="C352" s="19" t="s">
        <v>31</v>
      </c>
      <c r="D352" s="27" t="s">
        <v>36</v>
      </c>
      <c r="E352" s="27">
        <v>85</v>
      </c>
      <c r="F352" s="27">
        <v>15</v>
      </c>
      <c r="L352" s="27" t="s">
        <v>102</v>
      </c>
      <c r="S352" s="27">
        <v>40.75</v>
      </c>
      <c r="T352" s="27" t="s">
        <v>57</v>
      </c>
      <c r="U352" s="27" t="s">
        <v>37</v>
      </c>
      <c r="V352" s="27" t="s">
        <v>127</v>
      </c>
      <c r="W352" s="27">
        <v>33.33</v>
      </c>
      <c r="X352" s="27" t="s">
        <v>128</v>
      </c>
      <c r="Y352" s="27" t="s">
        <v>74</v>
      </c>
      <c r="Z352" s="27">
        <v>33.33</v>
      </c>
      <c r="AA352" s="27" t="s">
        <v>69</v>
      </c>
      <c r="AE352" s="27">
        <v>33.33</v>
      </c>
    </row>
    <row r="353" spans="1:31" ht="15" customHeight="1">
      <c r="A353" s="27">
        <v>32</v>
      </c>
      <c r="B353" s="27">
        <v>51</v>
      </c>
      <c r="C353" s="19" t="s">
        <v>31</v>
      </c>
      <c r="D353" s="27" t="s">
        <v>36</v>
      </c>
      <c r="E353" s="27">
        <v>85</v>
      </c>
      <c r="F353" s="27">
        <v>15</v>
      </c>
      <c r="L353" s="27" t="s">
        <v>102</v>
      </c>
      <c r="S353" s="27">
        <v>40.75</v>
      </c>
      <c r="T353" s="27" t="s">
        <v>57</v>
      </c>
      <c r="U353" s="27" t="s">
        <v>37</v>
      </c>
      <c r="V353" s="27" t="s">
        <v>127</v>
      </c>
      <c r="W353" s="27">
        <v>33.33</v>
      </c>
      <c r="X353" s="27" t="s">
        <v>128</v>
      </c>
      <c r="Y353" s="27" t="s">
        <v>74</v>
      </c>
      <c r="Z353" s="27">
        <v>33.33</v>
      </c>
      <c r="AA353" s="27" t="s">
        <v>69</v>
      </c>
      <c r="AE353" s="27">
        <v>33.33</v>
      </c>
    </row>
    <row r="354" spans="1:31" ht="15" customHeight="1">
      <c r="A354" s="27">
        <v>32</v>
      </c>
      <c r="B354" s="27">
        <v>52</v>
      </c>
      <c r="C354" s="19" t="s">
        <v>31</v>
      </c>
      <c r="D354" s="27" t="s">
        <v>36</v>
      </c>
      <c r="E354" s="27">
        <v>85</v>
      </c>
      <c r="F354" s="27">
        <v>15</v>
      </c>
      <c r="L354" s="27" t="s">
        <v>102</v>
      </c>
      <c r="S354" s="27">
        <v>40.75</v>
      </c>
      <c r="T354" s="27" t="s">
        <v>57</v>
      </c>
      <c r="U354" s="27" t="s">
        <v>37</v>
      </c>
      <c r="V354" s="27" t="s">
        <v>127</v>
      </c>
      <c r="W354" s="27">
        <v>33.33</v>
      </c>
      <c r="X354" s="27" t="s">
        <v>128</v>
      </c>
      <c r="Y354" s="27" t="s">
        <v>74</v>
      </c>
      <c r="Z354" s="27">
        <v>33.33</v>
      </c>
      <c r="AA354" s="27" t="s">
        <v>69</v>
      </c>
      <c r="AE354" s="27">
        <v>33.33</v>
      </c>
    </row>
    <row r="355" spans="1:31" ht="15" customHeight="1">
      <c r="A355" s="27">
        <v>32</v>
      </c>
      <c r="B355" s="27">
        <v>53</v>
      </c>
      <c r="C355" s="19" t="s">
        <v>31</v>
      </c>
      <c r="D355" s="27" t="s">
        <v>36</v>
      </c>
      <c r="E355" s="27">
        <v>85</v>
      </c>
      <c r="F355" s="27">
        <v>15</v>
      </c>
      <c r="L355" s="27" t="s">
        <v>102</v>
      </c>
      <c r="S355" s="27">
        <v>40.75</v>
      </c>
      <c r="T355" s="27" t="s">
        <v>57</v>
      </c>
      <c r="U355" s="27" t="s">
        <v>37</v>
      </c>
      <c r="V355" s="27" t="s">
        <v>127</v>
      </c>
      <c r="W355" s="27">
        <v>33.33</v>
      </c>
      <c r="X355" s="27" t="s">
        <v>128</v>
      </c>
      <c r="Y355" s="27" t="s">
        <v>74</v>
      </c>
      <c r="Z355" s="27">
        <v>33.33</v>
      </c>
      <c r="AA355" s="27" t="s">
        <v>69</v>
      </c>
      <c r="AE355" s="27">
        <v>33.33</v>
      </c>
    </row>
    <row r="356" spans="1:31" ht="15" customHeight="1">
      <c r="A356" s="27">
        <v>32</v>
      </c>
      <c r="B356" s="27">
        <v>54</v>
      </c>
      <c r="C356" s="19" t="s">
        <v>31</v>
      </c>
      <c r="D356" s="27" t="s">
        <v>36</v>
      </c>
      <c r="E356" s="27">
        <v>85</v>
      </c>
      <c r="F356" s="27">
        <v>15</v>
      </c>
      <c r="L356" s="27" t="s">
        <v>102</v>
      </c>
      <c r="S356" s="27">
        <v>40.75</v>
      </c>
      <c r="T356" s="27" t="s">
        <v>57</v>
      </c>
      <c r="U356" s="27" t="s">
        <v>37</v>
      </c>
      <c r="V356" s="27" t="s">
        <v>127</v>
      </c>
      <c r="W356" s="27">
        <v>33.33</v>
      </c>
      <c r="X356" s="27" t="s">
        <v>128</v>
      </c>
      <c r="Y356" s="27" t="s">
        <v>74</v>
      </c>
      <c r="Z356" s="27">
        <v>33.33</v>
      </c>
      <c r="AA356" s="27" t="s">
        <v>69</v>
      </c>
      <c r="AE356" s="27">
        <v>32.9</v>
      </c>
    </row>
    <row r="357" spans="1:31" ht="15" customHeight="1">
      <c r="A357" s="27">
        <v>32</v>
      </c>
      <c r="B357" s="27">
        <v>55</v>
      </c>
      <c r="C357" s="19" t="s">
        <v>31</v>
      </c>
      <c r="D357" s="27" t="s">
        <v>36</v>
      </c>
      <c r="E357" s="27">
        <v>85</v>
      </c>
      <c r="F357" s="27">
        <v>15</v>
      </c>
      <c r="L357" s="27" t="s">
        <v>102</v>
      </c>
      <c r="S357" s="27">
        <v>125.89</v>
      </c>
      <c r="T357" s="27" t="s">
        <v>57</v>
      </c>
      <c r="U357" s="27" t="s">
        <v>37</v>
      </c>
      <c r="V357" s="27" t="s">
        <v>127</v>
      </c>
      <c r="W357" s="27">
        <v>32.9</v>
      </c>
      <c r="X357" s="27" t="s">
        <v>128</v>
      </c>
      <c r="Y357" s="27" t="s">
        <v>74</v>
      </c>
      <c r="Z357" s="27">
        <v>32.9</v>
      </c>
      <c r="AA357" s="27" t="s">
        <v>69</v>
      </c>
      <c r="AB357" s="27" t="s">
        <v>129</v>
      </c>
      <c r="AC357" s="27">
        <v>1.32</v>
      </c>
      <c r="AD357" s="27" t="s">
        <v>130</v>
      </c>
      <c r="AE357" s="27">
        <v>32.9</v>
      </c>
    </row>
    <row r="358" spans="1:31" ht="15" customHeight="1">
      <c r="A358" s="27">
        <v>32</v>
      </c>
      <c r="B358" s="27">
        <v>56</v>
      </c>
      <c r="C358" s="19" t="s">
        <v>31</v>
      </c>
      <c r="D358" s="27" t="s">
        <v>36</v>
      </c>
      <c r="E358" s="27">
        <v>85</v>
      </c>
      <c r="F358" s="27">
        <v>15</v>
      </c>
      <c r="L358" s="27" t="s">
        <v>102</v>
      </c>
      <c r="S358" s="27">
        <v>125.89</v>
      </c>
      <c r="T358" s="27" t="s">
        <v>57</v>
      </c>
      <c r="U358" s="27" t="s">
        <v>37</v>
      </c>
      <c r="V358" s="27" t="s">
        <v>127</v>
      </c>
      <c r="W358" s="27">
        <v>32.9</v>
      </c>
      <c r="X358" s="27" t="s">
        <v>128</v>
      </c>
      <c r="Y358" s="27" t="s">
        <v>74</v>
      </c>
      <c r="Z358" s="27">
        <v>32.9</v>
      </c>
      <c r="AA358" s="27" t="s">
        <v>69</v>
      </c>
      <c r="AB358" s="27" t="s">
        <v>129</v>
      </c>
      <c r="AC358" s="27">
        <v>1.32</v>
      </c>
      <c r="AD358" s="27" t="s">
        <v>130</v>
      </c>
      <c r="AE358" s="27">
        <v>32.9</v>
      </c>
    </row>
    <row r="359" spans="1:31" ht="15" customHeight="1">
      <c r="A359" s="27">
        <v>32</v>
      </c>
      <c r="B359" s="27">
        <v>57</v>
      </c>
      <c r="C359" s="19" t="s">
        <v>31</v>
      </c>
      <c r="D359" s="27" t="s">
        <v>36</v>
      </c>
      <c r="E359" s="27">
        <v>85</v>
      </c>
      <c r="F359" s="27">
        <v>15</v>
      </c>
      <c r="L359" s="27" t="s">
        <v>102</v>
      </c>
      <c r="S359" s="27">
        <v>125.89</v>
      </c>
      <c r="T359" s="27" t="s">
        <v>57</v>
      </c>
      <c r="U359" s="27" t="s">
        <v>37</v>
      </c>
      <c r="V359" s="27" t="s">
        <v>127</v>
      </c>
      <c r="W359" s="27">
        <v>32.9</v>
      </c>
      <c r="X359" s="27" t="s">
        <v>128</v>
      </c>
      <c r="Y359" s="27" t="s">
        <v>74</v>
      </c>
      <c r="Z359" s="27">
        <v>32.9</v>
      </c>
      <c r="AA359" s="27" t="s">
        <v>69</v>
      </c>
      <c r="AB359" s="27" t="s">
        <v>129</v>
      </c>
      <c r="AC359" s="27">
        <v>1.32</v>
      </c>
      <c r="AD359" s="27" t="s">
        <v>130</v>
      </c>
      <c r="AE359" s="27">
        <v>32.9</v>
      </c>
    </row>
    <row r="360" spans="1:31" ht="15" customHeight="1">
      <c r="A360" s="27">
        <v>32</v>
      </c>
      <c r="B360" s="27">
        <v>58</v>
      </c>
      <c r="C360" s="19" t="s">
        <v>31</v>
      </c>
      <c r="D360" s="27" t="s">
        <v>36</v>
      </c>
      <c r="E360" s="27">
        <v>85</v>
      </c>
      <c r="F360" s="27">
        <v>15</v>
      </c>
      <c r="L360" s="27" t="s">
        <v>102</v>
      </c>
      <c r="S360" s="27">
        <v>125.89</v>
      </c>
      <c r="T360" s="27" t="s">
        <v>57</v>
      </c>
      <c r="U360" s="27" t="s">
        <v>37</v>
      </c>
      <c r="V360" s="27" t="s">
        <v>127</v>
      </c>
      <c r="W360" s="27">
        <v>32.9</v>
      </c>
      <c r="X360" s="27" t="s">
        <v>128</v>
      </c>
      <c r="Y360" s="27" t="s">
        <v>74</v>
      </c>
      <c r="Z360" s="27">
        <v>32.9</v>
      </c>
      <c r="AA360" s="27" t="s">
        <v>69</v>
      </c>
      <c r="AB360" s="27" t="s">
        <v>129</v>
      </c>
      <c r="AC360" s="27">
        <v>1.32</v>
      </c>
      <c r="AD360" s="27" t="s">
        <v>130</v>
      </c>
      <c r="AE360" s="27">
        <v>32.9</v>
      </c>
    </row>
    <row r="361" spans="1:31" ht="15" customHeight="1">
      <c r="A361" s="27">
        <v>32</v>
      </c>
      <c r="B361" s="27">
        <v>59</v>
      </c>
      <c r="C361" s="19" t="s">
        <v>31</v>
      </c>
      <c r="D361" s="27" t="s">
        <v>36</v>
      </c>
      <c r="E361" s="27">
        <v>85</v>
      </c>
      <c r="F361" s="27">
        <v>15</v>
      </c>
      <c r="L361" s="27" t="s">
        <v>102</v>
      </c>
      <c r="S361" s="27">
        <v>125.89</v>
      </c>
      <c r="T361" s="27" t="s">
        <v>57</v>
      </c>
      <c r="U361" s="27" t="s">
        <v>37</v>
      </c>
      <c r="V361" s="27" t="s">
        <v>127</v>
      </c>
      <c r="W361" s="27">
        <v>32.9</v>
      </c>
      <c r="X361" s="27" t="s">
        <v>128</v>
      </c>
      <c r="Y361" s="27" t="s">
        <v>74</v>
      </c>
      <c r="Z361" s="27">
        <v>32.9</v>
      </c>
      <c r="AA361" s="27" t="s">
        <v>69</v>
      </c>
      <c r="AB361" s="27" t="s">
        <v>129</v>
      </c>
      <c r="AC361" s="27">
        <v>1.32</v>
      </c>
      <c r="AD361" s="27" t="s">
        <v>130</v>
      </c>
      <c r="AE361" s="27">
        <v>32.9</v>
      </c>
    </row>
    <row r="362" spans="1:31" ht="15" customHeight="1">
      <c r="A362" s="27">
        <v>32</v>
      </c>
      <c r="B362" s="27">
        <v>60</v>
      </c>
      <c r="C362" s="19" t="s">
        <v>31</v>
      </c>
      <c r="D362" s="27" t="s">
        <v>36</v>
      </c>
      <c r="E362" s="27">
        <v>85</v>
      </c>
      <c r="F362" s="27">
        <v>15</v>
      </c>
      <c r="L362" s="27" t="s">
        <v>102</v>
      </c>
      <c r="S362" s="27">
        <v>125.89</v>
      </c>
      <c r="T362" s="27" t="s">
        <v>57</v>
      </c>
      <c r="U362" s="27" t="s">
        <v>37</v>
      </c>
      <c r="V362" s="27" t="s">
        <v>127</v>
      </c>
      <c r="W362" s="27">
        <v>32.9</v>
      </c>
      <c r="X362" s="27" t="s">
        <v>128</v>
      </c>
      <c r="Y362" s="27" t="s">
        <v>74</v>
      </c>
      <c r="Z362" s="27">
        <v>32.9</v>
      </c>
      <c r="AA362" s="27" t="s">
        <v>69</v>
      </c>
      <c r="AB362" s="27" t="s">
        <v>129</v>
      </c>
      <c r="AC362" s="27">
        <v>1.32</v>
      </c>
      <c r="AD362" s="27" t="s">
        <v>130</v>
      </c>
      <c r="AE362" s="27">
        <v>32.9</v>
      </c>
    </row>
    <row r="363" spans="1:31" ht="15" customHeight="1">
      <c r="A363" s="27">
        <v>32</v>
      </c>
      <c r="B363" s="27">
        <v>61</v>
      </c>
      <c r="C363" s="19" t="s">
        <v>31</v>
      </c>
      <c r="D363" s="27" t="s">
        <v>36</v>
      </c>
      <c r="E363" s="27">
        <v>85</v>
      </c>
      <c r="F363" s="27">
        <v>15</v>
      </c>
      <c r="L363" s="27" t="s">
        <v>102</v>
      </c>
      <c r="S363" s="27">
        <v>125.89</v>
      </c>
      <c r="T363" s="27" t="s">
        <v>57</v>
      </c>
      <c r="U363" s="27" t="s">
        <v>37</v>
      </c>
      <c r="V363" s="27" t="s">
        <v>127</v>
      </c>
      <c r="W363" s="27">
        <v>32.9</v>
      </c>
      <c r="X363" s="27" t="s">
        <v>128</v>
      </c>
      <c r="Y363" s="27" t="s">
        <v>74</v>
      </c>
      <c r="Z363" s="27">
        <v>32.9</v>
      </c>
      <c r="AA363" s="27" t="s">
        <v>69</v>
      </c>
      <c r="AB363" s="27" t="s">
        <v>129</v>
      </c>
      <c r="AC363" s="27">
        <v>1.32</v>
      </c>
      <c r="AD363" s="27" t="s">
        <v>130</v>
      </c>
      <c r="AE363" s="27">
        <v>32.9</v>
      </c>
    </row>
    <row r="364" spans="1:31" ht="15" customHeight="1">
      <c r="A364" s="27">
        <v>32</v>
      </c>
      <c r="B364" s="27">
        <v>62</v>
      </c>
      <c r="C364" s="19" t="s">
        <v>31</v>
      </c>
      <c r="D364" s="27" t="s">
        <v>36</v>
      </c>
      <c r="E364" s="27">
        <v>85</v>
      </c>
      <c r="F364" s="27">
        <v>15</v>
      </c>
      <c r="L364" s="27" t="s">
        <v>102</v>
      </c>
      <c r="S364" s="27">
        <v>125.89</v>
      </c>
      <c r="T364" s="27" t="s">
        <v>57</v>
      </c>
      <c r="U364" s="27" t="s">
        <v>37</v>
      </c>
      <c r="V364" s="27" t="s">
        <v>127</v>
      </c>
      <c r="W364" s="27">
        <v>32.9</v>
      </c>
      <c r="X364" s="27" t="s">
        <v>128</v>
      </c>
      <c r="Y364" s="27" t="s">
        <v>74</v>
      </c>
      <c r="Z364" s="27">
        <v>32.9</v>
      </c>
      <c r="AA364" s="27" t="s">
        <v>69</v>
      </c>
      <c r="AB364" s="27" t="s">
        <v>129</v>
      </c>
      <c r="AC364" s="27">
        <v>1.32</v>
      </c>
      <c r="AD364" s="27" t="s">
        <v>130</v>
      </c>
      <c r="AE364" s="27">
        <v>32.9</v>
      </c>
    </row>
    <row r="365" spans="1:31" ht="15" customHeight="1">
      <c r="A365" s="27">
        <v>32</v>
      </c>
      <c r="B365" s="27">
        <v>63</v>
      </c>
      <c r="C365" s="19" t="s">
        <v>31</v>
      </c>
      <c r="D365" s="27" t="s">
        <v>36</v>
      </c>
      <c r="E365" s="27">
        <v>85</v>
      </c>
      <c r="F365" s="27">
        <v>15</v>
      </c>
      <c r="L365" s="27" t="s">
        <v>102</v>
      </c>
      <c r="S365" s="27">
        <v>125.89</v>
      </c>
      <c r="T365" s="27" t="s">
        <v>57</v>
      </c>
      <c r="U365" s="27" t="s">
        <v>37</v>
      </c>
      <c r="V365" s="27" t="s">
        <v>127</v>
      </c>
      <c r="W365" s="27">
        <v>32.9</v>
      </c>
      <c r="X365" s="27" t="s">
        <v>128</v>
      </c>
      <c r="Y365" s="27" t="s">
        <v>74</v>
      </c>
      <c r="Z365" s="27">
        <v>32.9</v>
      </c>
      <c r="AA365" s="27" t="s">
        <v>69</v>
      </c>
      <c r="AB365" s="27" t="s">
        <v>129</v>
      </c>
      <c r="AC365" s="27">
        <v>1.32</v>
      </c>
      <c r="AD365" s="27" t="s">
        <v>130</v>
      </c>
      <c r="AE365" s="27">
        <v>32.9</v>
      </c>
    </row>
    <row r="366" spans="1:31" ht="15" customHeight="1">
      <c r="A366" s="27">
        <v>32</v>
      </c>
      <c r="B366" s="27">
        <v>64</v>
      </c>
      <c r="C366" s="19" t="s">
        <v>31</v>
      </c>
      <c r="D366" s="27" t="s">
        <v>36</v>
      </c>
      <c r="E366" s="27">
        <v>85</v>
      </c>
      <c r="F366" s="27">
        <v>15</v>
      </c>
      <c r="L366" s="27" t="s">
        <v>102</v>
      </c>
      <c r="S366" s="27">
        <v>125.89</v>
      </c>
      <c r="T366" s="27" t="s">
        <v>57</v>
      </c>
      <c r="U366" s="27" t="s">
        <v>37</v>
      </c>
      <c r="V366" s="27" t="s">
        <v>127</v>
      </c>
      <c r="W366" s="27">
        <v>32.9</v>
      </c>
      <c r="X366" s="27" t="s">
        <v>128</v>
      </c>
      <c r="Y366" s="27" t="s">
        <v>74</v>
      </c>
      <c r="Z366" s="27">
        <v>32.9</v>
      </c>
      <c r="AA366" s="27" t="s">
        <v>69</v>
      </c>
      <c r="AB366" s="27" t="s">
        <v>129</v>
      </c>
      <c r="AC366" s="27">
        <v>1.32</v>
      </c>
      <c r="AD366" s="27" t="s">
        <v>130</v>
      </c>
      <c r="AE366" s="27">
        <v>32.9</v>
      </c>
    </row>
    <row r="367" spans="1:31" ht="15" customHeight="1">
      <c r="A367" s="27">
        <v>32</v>
      </c>
      <c r="B367" s="27">
        <v>65</v>
      </c>
      <c r="C367" s="19" t="s">
        <v>31</v>
      </c>
      <c r="D367" s="27" t="s">
        <v>36</v>
      </c>
      <c r="E367" s="27">
        <v>85</v>
      </c>
      <c r="F367" s="27">
        <v>15</v>
      </c>
      <c r="L367" s="27" t="s">
        <v>102</v>
      </c>
      <c r="S367" s="27">
        <v>125.89</v>
      </c>
      <c r="T367" s="27" t="s">
        <v>57</v>
      </c>
      <c r="U367" s="27" t="s">
        <v>37</v>
      </c>
      <c r="V367" s="27" t="s">
        <v>127</v>
      </c>
      <c r="W367" s="27">
        <v>32.9</v>
      </c>
      <c r="X367" s="27" t="s">
        <v>128</v>
      </c>
      <c r="Y367" s="27" t="s">
        <v>74</v>
      </c>
      <c r="Z367" s="27">
        <v>32.9</v>
      </c>
      <c r="AA367" s="27" t="s">
        <v>69</v>
      </c>
      <c r="AB367" s="27" t="s">
        <v>129</v>
      </c>
      <c r="AC367" s="27">
        <v>1.32</v>
      </c>
      <c r="AD367" s="27" t="s">
        <v>130</v>
      </c>
      <c r="AE367" s="27">
        <v>32.9</v>
      </c>
    </row>
    <row r="368" spans="1:31" ht="15" customHeight="1">
      <c r="A368" s="27">
        <v>32</v>
      </c>
      <c r="B368" s="27">
        <v>66</v>
      </c>
      <c r="C368" s="19" t="s">
        <v>31</v>
      </c>
      <c r="D368" s="27" t="s">
        <v>36</v>
      </c>
      <c r="E368" s="27">
        <v>85</v>
      </c>
      <c r="F368" s="27">
        <v>15</v>
      </c>
      <c r="L368" s="27" t="s">
        <v>102</v>
      </c>
      <c r="S368" s="27">
        <v>125.89</v>
      </c>
      <c r="T368" s="27" t="s">
        <v>57</v>
      </c>
      <c r="U368" s="27" t="s">
        <v>37</v>
      </c>
      <c r="V368" s="27" t="s">
        <v>127</v>
      </c>
      <c r="W368" s="27">
        <v>32.9</v>
      </c>
      <c r="X368" s="27" t="s">
        <v>128</v>
      </c>
      <c r="Y368" s="27" t="s">
        <v>74</v>
      </c>
      <c r="Z368" s="27">
        <v>32.9</v>
      </c>
      <c r="AA368" s="27" t="s">
        <v>69</v>
      </c>
      <c r="AB368" s="27" t="s">
        <v>129</v>
      </c>
      <c r="AC368" s="27">
        <v>1.32</v>
      </c>
      <c r="AD368" s="27" t="s">
        <v>130</v>
      </c>
      <c r="AE368" s="27">
        <v>32.9</v>
      </c>
    </row>
    <row r="369" spans="1:31" ht="15" customHeight="1">
      <c r="A369" s="27">
        <v>32</v>
      </c>
      <c r="B369" s="27">
        <v>67</v>
      </c>
      <c r="C369" s="19" t="s">
        <v>31</v>
      </c>
      <c r="D369" s="27" t="s">
        <v>36</v>
      </c>
      <c r="E369" s="27">
        <v>85</v>
      </c>
      <c r="F369" s="27">
        <v>15</v>
      </c>
      <c r="L369" s="27" t="s">
        <v>102</v>
      </c>
      <c r="S369" s="27">
        <v>125.89</v>
      </c>
      <c r="T369" s="27" t="s">
        <v>57</v>
      </c>
      <c r="U369" s="27" t="s">
        <v>37</v>
      </c>
      <c r="V369" s="27" t="s">
        <v>127</v>
      </c>
      <c r="W369" s="27">
        <v>32.9</v>
      </c>
      <c r="X369" s="27" t="s">
        <v>128</v>
      </c>
      <c r="Y369" s="27" t="s">
        <v>74</v>
      </c>
      <c r="Z369" s="27">
        <v>32.9</v>
      </c>
      <c r="AA369" s="27" t="s">
        <v>69</v>
      </c>
      <c r="AB369" s="27" t="s">
        <v>129</v>
      </c>
      <c r="AC369" s="27">
        <v>1.32</v>
      </c>
      <c r="AD369" s="27" t="s">
        <v>130</v>
      </c>
      <c r="AE369" s="27">
        <v>32.9</v>
      </c>
    </row>
    <row r="370" spans="1:31" ht="15" customHeight="1">
      <c r="A370" s="27">
        <v>32</v>
      </c>
      <c r="B370" s="27">
        <v>68</v>
      </c>
      <c r="C370" s="19" t="s">
        <v>31</v>
      </c>
      <c r="D370" s="27" t="s">
        <v>36</v>
      </c>
      <c r="E370" s="27">
        <v>85</v>
      </c>
      <c r="F370" s="27">
        <v>15</v>
      </c>
      <c r="L370" s="27" t="s">
        <v>102</v>
      </c>
      <c r="S370" s="27">
        <v>125.89</v>
      </c>
      <c r="T370" s="27" t="s">
        <v>57</v>
      </c>
      <c r="U370" s="27" t="s">
        <v>37</v>
      </c>
      <c r="V370" s="27" t="s">
        <v>127</v>
      </c>
      <c r="W370" s="27">
        <v>32.9</v>
      </c>
      <c r="X370" s="27" t="s">
        <v>128</v>
      </c>
      <c r="Y370" s="27" t="s">
        <v>74</v>
      </c>
      <c r="Z370" s="27">
        <v>32.9</v>
      </c>
      <c r="AA370" s="27" t="s">
        <v>69</v>
      </c>
      <c r="AB370" s="27" t="s">
        <v>129</v>
      </c>
      <c r="AC370" s="27">
        <v>1.32</v>
      </c>
      <c r="AD370" s="27" t="s">
        <v>130</v>
      </c>
      <c r="AE370" s="27">
        <v>32.9</v>
      </c>
    </row>
    <row r="371" spans="1:31" ht="15" customHeight="1">
      <c r="A371" s="27">
        <v>32</v>
      </c>
      <c r="B371" s="27">
        <v>69</v>
      </c>
      <c r="C371" s="19" t="s">
        <v>31</v>
      </c>
      <c r="D371" s="27" t="s">
        <v>36</v>
      </c>
      <c r="E371" s="27">
        <v>85</v>
      </c>
      <c r="F371" s="27">
        <v>15</v>
      </c>
      <c r="L371" s="27" t="s">
        <v>102</v>
      </c>
      <c r="S371" s="27">
        <v>125.89</v>
      </c>
      <c r="T371" s="27" t="s">
        <v>57</v>
      </c>
      <c r="U371" s="27" t="s">
        <v>37</v>
      </c>
      <c r="V371" s="27" t="s">
        <v>127</v>
      </c>
      <c r="W371" s="27">
        <v>32.9</v>
      </c>
      <c r="X371" s="27" t="s">
        <v>128</v>
      </c>
      <c r="Y371" s="27" t="s">
        <v>74</v>
      </c>
      <c r="Z371" s="27">
        <v>32.9</v>
      </c>
      <c r="AA371" s="27" t="s">
        <v>69</v>
      </c>
      <c r="AB371" s="27" t="s">
        <v>129</v>
      </c>
      <c r="AC371" s="27">
        <v>1.32</v>
      </c>
      <c r="AD371" s="27" t="s">
        <v>130</v>
      </c>
      <c r="AE371" s="27">
        <v>32.9</v>
      </c>
    </row>
    <row r="372" spans="1:31" ht="15" customHeight="1">
      <c r="A372" s="27">
        <v>32</v>
      </c>
      <c r="B372" s="27">
        <v>70</v>
      </c>
      <c r="C372" s="19" t="s">
        <v>31</v>
      </c>
      <c r="D372" s="27" t="s">
        <v>36</v>
      </c>
      <c r="E372" s="27">
        <v>85</v>
      </c>
      <c r="F372" s="27">
        <v>15</v>
      </c>
      <c r="L372" s="27" t="s">
        <v>102</v>
      </c>
      <c r="S372" s="27">
        <v>125.89</v>
      </c>
      <c r="T372" s="27" t="s">
        <v>57</v>
      </c>
      <c r="U372" s="27" t="s">
        <v>37</v>
      </c>
      <c r="V372" s="27" t="s">
        <v>127</v>
      </c>
      <c r="W372" s="27">
        <v>32.9</v>
      </c>
      <c r="X372" s="27" t="s">
        <v>128</v>
      </c>
      <c r="Y372" s="27" t="s">
        <v>74</v>
      </c>
      <c r="Z372" s="27">
        <v>32.9</v>
      </c>
      <c r="AA372" s="27" t="s">
        <v>69</v>
      </c>
      <c r="AB372" s="27" t="s">
        <v>129</v>
      </c>
      <c r="AC372" s="27">
        <v>1.32</v>
      </c>
      <c r="AD372" s="27" t="s">
        <v>130</v>
      </c>
      <c r="AE372" s="27">
        <v>32.9</v>
      </c>
    </row>
    <row r="373" spans="1:31" ht="15" customHeight="1">
      <c r="A373" s="27">
        <v>32</v>
      </c>
      <c r="B373" s="27">
        <v>71</v>
      </c>
      <c r="C373" s="19" t="s">
        <v>31</v>
      </c>
      <c r="D373" s="27" t="s">
        <v>36</v>
      </c>
      <c r="E373" s="27">
        <v>85</v>
      </c>
      <c r="F373" s="27">
        <v>15</v>
      </c>
      <c r="L373" s="27" t="s">
        <v>102</v>
      </c>
      <c r="S373" s="27">
        <v>125.89</v>
      </c>
      <c r="T373" s="27" t="s">
        <v>57</v>
      </c>
      <c r="U373" s="27" t="s">
        <v>37</v>
      </c>
      <c r="V373" s="27" t="s">
        <v>127</v>
      </c>
      <c r="W373" s="27">
        <v>32.9</v>
      </c>
      <c r="X373" s="27" t="s">
        <v>128</v>
      </c>
      <c r="Y373" s="27" t="s">
        <v>74</v>
      </c>
      <c r="Z373" s="27">
        <v>32.9</v>
      </c>
      <c r="AA373" s="27" t="s">
        <v>69</v>
      </c>
      <c r="AB373" s="27" t="s">
        <v>129</v>
      </c>
      <c r="AC373" s="27">
        <v>1.32</v>
      </c>
      <c r="AD373" s="27" t="s">
        <v>130</v>
      </c>
      <c r="AE373" s="27">
        <v>32.9</v>
      </c>
    </row>
    <row r="374" spans="1:31" ht="15" customHeight="1">
      <c r="A374" s="27">
        <v>32</v>
      </c>
      <c r="B374" s="27">
        <v>72</v>
      </c>
      <c r="C374" s="19" t="s">
        <v>31</v>
      </c>
      <c r="D374" s="27" t="s">
        <v>36</v>
      </c>
      <c r="E374" s="27">
        <v>85</v>
      </c>
      <c r="F374" s="27">
        <v>15</v>
      </c>
      <c r="L374" s="27" t="s">
        <v>102</v>
      </c>
      <c r="S374" s="27">
        <v>125.89</v>
      </c>
      <c r="T374" s="27" t="s">
        <v>57</v>
      </c>
      <c r="U374" s="27" t="s">
        <v>37</v>
      </c>
      <c r="V374" s="27" t="s">
        <v>127</v>
      </c>
      <c r="W374" s="27">
        <v>32.9</v>
      </c>
      <c r="X374" s="27" t="s">
        <v>128</v>
      </c>
      <c r="Y374" s="27" t="s">
        <v>74</v>
      </c>
      <c r="Z374" s="27">
        <v>32.9</v>
      </c>
      <c r="AA374" s="27" t="s">
        <v>69</v>
      </c>
      <c r="AB374" s="27" t="s">
        <v>129</v>
      </c>
      <c r="AC374" s="27">
        <v>1.32</v>
      </c>
      <c r="AD374" s="27" t="s">
        <v>130</v>
      </c>
      <c r="AE374" s="27">
        <v>32.9</v>
      </c>
    </row>
    <row r="375" spans="1:31" s="41" customFormat="1" ht="15" customHeight="1">
      <c r="A375" s="41">
        <v>33</v>
      </c>
      <c r="B375" s="41">
        <v>1</v>
      </c>
      <c r="C375" s="18" t="s">
        <v>31</v>
      </c>
      <c r="E375" s="41">
        <v>100</v>
      </c>
      <c r="L375" s="41" t="s">
        <v>33</v>
      </c>
      <c r="U375" s="41" t="s">
        <v>37</v>
      </c>
      <c r="V375" s="41" t="s">
        <v>131</v>
      </c>
      <c r="W375" s="41">
        <v>2</v>
      </c>
      <c r="X375" s="41" t="s">
        <v>65</v>
      </c>
      <c r="AE375" s="41">
        <v>98</v>
      </c>
    </row>
    <row r="376" spans="1:31" ht="15" customHeight="1">
      <c r="A376" s="27">
        <v>33</v>
      </c>
      <c r="B376" s="27">
        <v>2</v>
      </c>
      <c r="C376" s="19" t="s">
        <v>31</v>
      </c>
      <c r="E376" s="27">
        <v>100</v>
      </c>
      <c r="L376" s="27" t="s">
        <v>33</v>
      </c>
      <c r="U376" s="27" t="s">
        <v>37</v>
      </c>
      <c r="V376" s="27" t="s">
        <v>131</v>
      </c>
      <c r="W376" s="27">
        <v>10</v>
      </c>
      <c r="X376" s="27" t="s">
        <v>65</v>
      </c>
      <c r="AE376" s="27">
        <v>90</v>
      </c>
    </row>
    <row r="377" spans="1:31" ht="15" customHeight="1">
      <c r="A377" s="27">
        <v>33</v>
      </c>
      <c r="B377" s="27">
        <v>3</v>
      </c>
      <c r="C377" s="19" t="s">
        <v>31</v>
      </c>
      <c r="E377" s="27">
        <v>100</v>
      </c>
      <c r="L377" s="27" t="s">
        <v>33</v>
      </c>
      <c r="U377" s="27" t="s">
        <v>37</v>
      </c>
      <c r="V377" s="27" t="s">
        <v>132</v>
      </c>
      <c r="W377" s="27">
        <v>2</v>
      </c>
      <c r="X377" s="27" t="s">
        <v>65</v>
      </c>
      <c r="AE377" s="27">
        <v>98</v>
      </c>
    </row>
    <row r="378" spans="1:31" ht="15" customHeight="1">
      <c r="A378" s="27">
        <v>33</v>
      </c>
      <c r="B378" s="27">
        <v>4</v>
      </c>
      <c r="C378" s="19" t="s">
        <v>31</v>
      </c>
      <c r="E378" s="27">
        <v>100</v>
      </c>
      <c r="L378" s="27" t="s">
        <v>33</v>
      </c>
      <c r="U378" s="27" t="s">
        <v>37</v>
      </c>
      <c r="V378" s="27" t="s">
        <v>132</v>
      </c>
      <c r="W378" s="27">
        <v>10</v>
      </c>
      <c r="X378" s="27" t="s">
        <v>65</v>
      </c>
      <c r="AE378" s="27">
        <v>90</v>
      </c>
    </row>
    <row r="379" spans="1:31" s="41" customFormat="1" ht="15" customHeight="1">
      <c r="A379" s="41">
        <v>34</v>
      </c>
      <c r="B379" s="41">
        <v>1</v>
      </c>
      <c r="C379" s="18" t="s">
        <v>31</v>
      </c>
      <c r="E379" s="41">
        <v>100</v>
      </c>
      <c r="L379" s="41" t="s">
        <v>112</v>
      </c>
      <c r="S379" s="41">
        <v>534</v>
      </c>
      <c r="T379" s="41" t="s">
        <v>57</v>
      </c>
      <c r="U379" s="41" t="s">
        <v>35</v>
      </c>
      <c r="AE379" s="41">
        <v>100</v>
      </c>
    </row>
    <row r="380" spans="1:31" ht="15" customHeight="1">
      <c r="A380" s="27">
        <v>34</v>
      </c>
      <c r="B380" s="27">
        <v>2</v>
      </c>
      <c r="C380" s="19" t="s">
        <v>31</v>
      </c>
      <c r="E380" s="27">
        <v>100</v>
      </c>
      <c r="L380" s="27" t="s">
        <v>112</v>
      </c>
      <c r="S380" s="27">
        <v>534</v>
      </c>
      <c r="T380" s="27" t="s">
        <v>57</v>
      </c>
      <c r="U380" s="27" t="s">
        <v>35</v>
      </c>
      <c r="AE380" s="27">
        <v>100</v>
      </c>
    </row>
    <row r="381" spans="1:31" ht="15" customHeight="1">
      <c r="A381" s="27">
        <v>34</v>
      </c>
      <c r="B381" s="27">
        <v>3</v>
      </c>
      <c r="C381" s="19" t="s">
        <v>31</v>
      </c>
      <c r="E381" s="27">
        <v>100</v>
      </c>
      <c r="L381" s="27" t="s">
        <v>112</v>
      </c>
      <c r="S381" s="72">
        <v>289</v>
      </c>
      <c r="T381" s="27" t="s">
        <v>57</v>
      </c>
      <c r="U381" s="27" t="s">
        <v>37</v>
      </c>
      <c r="V381" s="27" t="s">
        <v>133</v>
      </c>
      <c r="W381" s="27">
        <v>10</v>
      </c>
      <c r="X381" s="27" t="s">
        <v>134</v>
      </c>
      <c r="AE381" s="27">
        <v>90</v>
      </c>
    </row>
    <row r="382" spans="1:31" ht="15" customHeight="1">
      <c r="A382" s="27">
        <v>34</v>
      </c>
      <c r="B382" s="27">
        <v>4</v>
      </c>
      <c r="C382" s="19" t="s">
        <v>31</v>
      </c>
      <c r="E382" s="27">
        <v>100</v>
      </c>
      <c r="L382" s="27" t="s">
        <v>112</v>
      </c>
      <c r="S382" s="27">
        <v>289</v>
      </c>
      <c r="T382" s="27" t="s">
        <v>57</v>
      </c>
      <c r="U382" s="27" t="s">
        <v>37</v>
      </c>
      <c r="V382" s="27" t="s">
        <v>133</v>
      </c>
      <c r="W382" s="27">
        <v>10</v>
      </c>
      <c r="X382" s="27" t="s">
        <v>134</v>
      </c>
      <c r="AE382" s="27">
        <v>90</v>
      </c>
    </row>
    <row r="383" spans="1:31" ht="15" customHeight="1">
      <c r="A383" s="27">
        <v>34</v>
      </c>
      <c r="B383" s="27">
        <v>5</v>
      </c>
      <c r="C383" s="19" t="s">
        <v>31</v>
      </c>
      <c r="E383" s="27">
        <v>100</v>
      </c>
      <c r="L383" s="27" t="s">
        <v>112</v>
      </c>
      <c r="S383" s="27">
        <v>158</v>
      </c>
      <c r="T383" s="27" t="s">
        <v>57</v>
      </c>
      <c r="U383" s="27" t="s">
        <v>37</v>
      </c>
      <c r="V383" s="27" t="s">
        <v>133</v>
      </c>
      <c r="W383" s="27">
        <v>10</v>
      </c>
      <c r="X383" s="27" t="s">
        <v>134</v>
      </c>
      <c r="Y383" s="27" t="s">
        <v>85</v>
      </c>
      <c r="Z383" s="27">
        <v>2</v>
      </c>
      <c r="AA383" s="27" t="s">
        <v>135</v>
      </c>
      <c r="AE383" s="27">
        <v>88</v>
      </c>
    </row>
    <row r="384" spans="1:31" ht="15" customHeight="1">
      <c r="A384" s="27">
        <v>34</v>
      </c>
      <c r="B384" s="27">
        <v>6</v>
      </c>
      <c r="C384" s="19" t="s">
        <v>31</v>
      </c>
      <c r="E384" s="27">
        <v>100</v>
      </c>
      <c r="L384" s="27" t="s">
        <v>112</v>
      </c>
      <c r="S384" s="27">
        <v>158</v>
      </c>
      <c r="T384" s="27" t="s">
        <v>57</v>
      </c>
      <c r="U384" s="27" t="s">
        <v>37</v>
      </c>
      <c r="V384" s="27" t="s">
        <v>133</v>
      </c>
      <c r="W384" s="27">
        <v>10</v>
      </c>
      <c r="X384" s="27" t="s">
        <v>134</v>
      </c>
      <c r="Y384" s="27" t="s">
        <v>85</v>
      </c>
      <c r="Z384" s="27">
        <v>2</v>
      </c>
      <c r="AA384" s="27" t="s">
        <v>135</v>
      </c>
      <c r="AE384" s="27">
        <v>88</v>
      </c>
    </row>
    <row r="385" spans="1:31" s="41" customFormat="1" ht="15" customHeight="1">
      <c r="A385" s="41">
        <v>35</v>
      </c>
      <c r="B385" s="41">
        <v>1</v>
      </c>
      <c r="C385" s="18" t="s">
        <v>31</v>
      </c>
      <c r="E385" s="41">
        <v>100</v>
      </c>
      <c r="L385" s="41" t="s">
        <v>112</v>
      </c>
      <c r="S385" s="41">
        <v>2.2200000000000002</v>
      </c>
      <c r="T385" s="41" t="s">
        <v>34</v>
      </c>
      <c r="U385" s="41" t="s">
        <v>35</v>
      </c>
    </row>
    <row r="386" spans="1:31" ht="15" customHeight="1">
      <c r="A386" s="27">
        <v>35</v>
      </c>
      <c r="B386" s="27">
        <v>2</v>
      </c>
      <c r="C386" s="19" t="s">
        <v>31</v>
      </c>
      <c r="E386" s="27">
        <v>100</v>
      </c>
      <c r="L386" s="27" t="s">
        <v>112</v>
      </c>
      <c r="S386" s="27">
        <v>1.36</v>
      </c>
      <c r="T386" s="27" t="s">
        <v>34</v>
      </c>
      <c r="U386" s="27" t="s">
        <v>37</v>
      </c>
      <c r="V386" s="27" t="s">
        <v>136</v>
      </c>
      <c r="W386" s="27">
        <v>30</v>
      </c>
      <c r="X386" s="27" t="s">
        <v>118</v>
      </c>
      <c r="AE386" s="27">
        <v>70</v>
      </c>
    </row>
    <row r="387" spans="1:31" s="41" customFormat="1" ht="15" customHeight="1">
      <c r="A387" s="18">
        <v>36</v>
      </c>
      <c r="B387" s="18">
        <v>1</v>
      </c>
      <c r="C387" s="18" t="s">
        <v>31</v>
      </c>
      <c r="E387" s="41">
        <v>100</v>
      </c>
      <c r="L387" s="41" t="s">
        <v>112</v>
      </c>
      <c r="S387" s="41">
        <v>257</v>
      </c>
      <c r="T387" s="41" t="s">
        <v>57</v>
      </c>
      <c r="U387" s="41" t="s">
        <v>37</v>
      </c>
      <c r="V387" s="41" t="s">
        <v>137</v>
      </c>
      <c r="W387" s="41">
        <v>63</v>
      </c>
      <c r="X387" s="41" t="s">
        <v>138</v>
      </c>
      <c r="Y387" s="41" t="s">
        <v>92</v>
      </c>
      <c r="Z387" s="41">
        <v>27</v>
      </c>
      <c r="AA387" s="41" t="s">
        <v>69</v>
      </c>
      <c r="AE387" s="41">
        <v>10</v>
      </c>
    </row>
    <row r="388" spans="1:31" ht="15" customHeight="1">
      <c r="A388" s="19">
        <v>36</v>
      </c>
      <c r="B388" s="19">
        <v>2</v>
      </c>
      <c r="C388" s="19" t="s">
        <v>31</v>
      </c>
      <c r="E388" s="27">
        <v>100</v>
      </c>
      <c r="L388" s="27" t="s">
        <v>112</v>
      </c>
      <c r="S388" s="27">
        <v>257</v>
      </c>
      <c r="T388" s="27" t="s">
        <v>57</v>
      </c>
      <c r="U388" s="27" t="s">
        <v>37</v>
      </c>
      <c r="V388" s="27" t="s">
        <v>137</v>
      </c>
      <c r="W388" s="27">
        <v>63</v>
      </c>
      <c r="X388" s="27" t="s">
        <v>138</v>
      </c>
      <c r="Y388" s="27" t="s">
        <v>92</v>
      </c>
      <c r="Z388" s="27">
        <v>27</v>
      </c>
      <c r="AA388" s="27" t="s">
        <v>69</v>
      </c>
      <c r="AE388" s="27">
        <v>10</v>
      </c>
    </row>
    <row r="389" spans="1:31" ht="15" customHeight="1">
      <c r="A389" s="19">
        <v>36</v>
      </c>
      <c r="B389" s="19">
        <v>3</v>
      </c>
      <c r="C389" s="19" t="s">
        <v>31</v>
      </c>
      <c r="E389" s="27">
        <v>100</v>
      </c>
      <c r="L389" s="27" t="s">
        <v>112</v>
      </c>
      <c r="S389" s="27">
        <v>257</v>
      </c>
      <c r="T389" s="27" t="s">
        <v>57</v>
      </c>
      <c r="U389" s="27" t="s">
        <v>37</v>
      </c>
      <c r="V389" s="27" t="s">
        <v>137</v>
      </c>
      <c r="W389" s="27">
        <v>63</v>
      </c>
      <c r="X389" s="27" t="s">
        <v>138</v>
      </c>
      <c r="Y389" s="27" t="s">
        <v>92</v>
      </c>
      <c r="Z389" s="27">
        <v>27</v>
      </c>
      <c r="AA389" s="27" t="s">
        <v>69</v>
      </c>
      <c r="AE389" s="27">
        <v>10</v>
      </c>
    </row>
    <row r="390" spans="1:31" ht="15" customHeight="1">
      <c r="A390" s="19">
        <v>36</v>
      </c>
      <c r="B390" s="19">
        <v>4</v>
      </c>
      <c r="C390" s="19" t="s">
        <v>31</v>
      </c>
      <c r="E390" s="27">
        <v>100</v>
      </c>
      <c r="L390" s="27" t="s">
        <v>112</v>
      </c>
      <c r="S390" s="27">
        <v>257</v>
      </c>
      <c r="T390" s="27" t="s">
        <v>57</v>
      </c>
      <c r="U390" s="27" t="s">
        <v>37</v>
      </c>
      <c r="V390" s="27" t="s">
        <v>137</v>
      </c>
      <c r="W390" s="27">
        <v>63</v>
      </c>
      <c r="X390" s="27" t="s">
        <v>138</v>
      </c>
      <c r="Y390" s="27" t="s">
        <v>92</v>
      </c>
      <c r="Z390" s="27">
        <v>27</v>
      </c>
      <c r="AA390" s="27" t="s">
        <v>69</v>
      </c>
      <c r="AE390" s="27">
        <v>10</v>
      </c>
    </row>
    <row r="391" spans="1:31" ht="15" customHeight="1">
      <c r="A391" s="19">
        <v>36</v>
      </c>
      <c r="B391" s="19">
        <v>5</v>
      </c>
      <c r="C391" s="19" t="s">
        <v>31</v>
      </c>
      <c r="E391" s="27">
        <v>100</v>
      </c>
      <c r="L391" s="27" t="s">
        <v>112</v>
      </c>
      <c r="S391" s="27">
        <v>257</v>
      </c>
      <c r="T391" s="27" t="s">
        <v>57</v>
      </c>
      <c r="U391" s="27" t="s">
        <v>37</v>
      </c>
      <c r="V391" s="27" t="s">
        <v>137</v>
      </c>
      <c r="W391" s="27">
        <v>63</v>
      </c>
      <c r="X391" s="27" t="s">
        <v>138</v>
      </c>
      <c r="Y391" s="27" t="s">
        <v>92</v>
      </c>
      <c r="Z391" s="27">
        <v>27</v>
      </c>
      <c r="AA391" s="27" t="s">
        <v>69</v>
      </c>
      <c r="AE391" s="27">
        <v>10</v>
      </c>
    </row>
    <row r="392" spans="1:31" ht="15" customHeight="1">
      <c r="A392" s="19">
        <v>36</v>
      </c>
      <c r="B392" s="19">
        <v>6</v>
      </c>
      <c r="C392" s="19" t="s">
        <v>31</v>
      </c>
      <c r="E392" s="27">
        <v>100</v>
      </c>
      <c r="L392" s="27" t="s">
        <v>112</v>
      </c>
      <c r="S392" s="27">
        <v>257</v>
      </c>
      <c r="T392" s="27" t="s">
        <v>57</v>
      </c>
      <c r="U392" s="27" t="s">
        <v>37</v>
      </c>
      <c r="V392" s="27" t="s">
        <v>137</v>
      </c>
      <c r="W392" s="27">
        <v>63</v>
      </c>
      <c r="X392" s="27" t="s">
        <v>138</v>
      </c>
      <c r="Y392" s="27" t="s">
        <v>92</v>
      </c>
      <c r="Z392" s="27">
        <v>27</v>
      </c>
      <c r="AA392" s="27" t="s">
        <v>69</v>
      </c>
      <c r="AE392" s="27">
        <v>10</v>
      </c>
    </row>
    <row r="393" spans="1:31" ht="15" customHeight="1">
      <c r="A393" s="19">
        <v>36</v>
      </c>
      <c r="B393" s="19">
        <v>7</v>
      </c>
      <c r="C393" s="19" t="s">
        <v>31</v>
      </c>
      <c r="E393" s="27">
        <v>100</v>
      </c>
      <c r="L393" s="27" t="s">
        <v>112</v>
      </c>
      <c r="S393" s="27">
        <v>257</v>
      </c>
      <c r="T393" s="27" t="s">
        <v>57</v>
      </c>
      <c r="U393" s="27" t="s">
        <v>37</v>
      </c>
      <c r="V393" s="27" t="s">
        <v>137</v>
      </c>
      <c r="W393" s="27">
        <v>63</v>
      </c>
      <c r="X393" s="27" t="s">
        <v>138</v>
      </c>
      <c r="Y393" s="27" t="s">
        <v>92</v>
      </c>
      <c r="Z393" s="27">
        <v>27</v>
      </c>
      <c r="AA393" s="27" t="s">
        <v>69</v>
      </c>
      <c r="AE393" s="27">
        <v>10</v>
      </c>
    </row>
    <row r="394" spans="1:31" ht="15" customHeight="1">
      <c r="A394" s="19">
        <v>36</v>
      </c>
      <c r="B394" s="19">
        <v>8</v>
      </c>
      <c r="C394" s="19" t="s">
        <v>31</v>
      </c>
      <c r="E394" s="27">
        <v>100</v>
      </c>
      <c r="L394" s="27" t="s">
        <v>112</v>
      </c>
      <c r="S394" s="27">
        <v>535</v>
      </c>
      <c r="T394" s="27" t="s">
        <v>57</v>
      </c>
      <c r="U394" s="27" t="s">
        <v>37</v>
      </c>
      <c r="V394" s="27" t="s">
        <v>137</v>
      </c>
      <c r="W394" s="27">
        <v>35</v>
      </c>
      <c r="X394" s="27" t="s">
        <v>138</v>
      </c>
      <c r="Y394" s="27" t="s">
        <v>92</v>
      </c>
      <c r="Z394" s="27">
        <v>15</v>
      </c>
      <c r="AA394" s="27" t="s">
        <v>69</v>
      </c>
      <c r="AE394" s="27">
        <v>50</v>
      </c>
    </row>
    <row r="395" spans="1:31" ht="15" customHeight="1">
      <c r="A395" s="19">
        <v>36</v>
      </c>
      <c r="B395" s="19">
        <v>9</v>
      </c>
      <c r="C395" s="19" t="s">
        <v>31</v>
      </c>
      <c r="E395" s="27">
        <v>100</v>
      </c>
      <c r="L395" s="27" t="s">
        <v>112</v>
      </c>
      <c r="S395" s="27">
        <v>535</v>
      </c>
      <c r="T395" s="27" t="s">
        <v>57</v>
      </c>
      <c r="U395" s="27" t="s">
        <v>37</v>
      </c>
      <c r="V395" s="27" t="s">
        <v>137</v>
      </c>
      <c r="W395" s="27">
        <v>35</v>
      </c>
      <c r="X395" s="27" t="s">
        <v>138</v>
      </c>
      <c r="Y395" s="27" t="s">
        <v>92</v>
      </c>
      <c r="Z395" s="27">
        <v>15</v>
      </c>
      <c r="AA395" s="27" t="s">
        <v>69</v>
      </c>
      <c r="AE395" s="27">
        <v>50</v>
      </c>
    </row>
    <row r="396" spans="1:31" ht="15" customHeight="1">
      <c r="A396" s="19">
        <v>36</v>
      </c>
      <c r="B396" s="19">
        <v>10</v>
      </c>
      <c r="C396" s="19" t="s">
        <v>31</v>
      </c>
      <c r="E396" s="27">
        <v>100</v>
      </c>
      <c r="L396" s="27" t="s">
        <v>112</v>
      </c>
      <c r="S396" s="27">
        <v>535</v>
      </c>
      <c r="T396" s="27" t="s">
        <v>57</v>
      </c>
      <c r="U396" s="27" t="s">
        <v>37</v>
      </c>
      <c r="V396" s="27" t="s">
        <v>137</v>
      </c>
      <c r="W396" s="27">
        <v>35</v>
      </c>
      <c r="X396" s="27" t="s">
        <v>138</v>
      </c>
      <c r="Y396" s="27" t="s">
        <v>92</v>
      </c>
      <c r="Z396" s="27">
        <v>15</v>
      </c>
      <c r="AA396" s="27" t="s">
        <v>69</v>
      </c>
      <c r="AE396" s="27">
        <v>50</v>
      </c>
    </row>
    <row r="397" spans="1:31" ht="15" customHeight="1">
      <c r="A397" s="19">
        <v>36</v>
      </c>
      <c r="B397" s="19">
        <v>11</v>
      </c>
      <c r="C397" s="19" t="s">
        <v>31</v>
      </c>
      <c r="E397" s="27">
        <v>100</v>
      </c>
      <c r="L397" s="27" t="s">
        <v>112</v>
      </c>
      <c r="S397" s="27">
        <v>535</v>
      </c>
      <c r="T397" s="27" t="s">
        <v>57</v>
      </c>
      <c r="U397" s="27" t="s">
        <v>37</v>
      </c>
      <c r="V397" s="27" t="s">
        <v>137</v>
      </c>
      <c r="W397" s="27">
        <v>35</v>
      </c>
      <c r="X397" s="27" t="s">
        <v>138</v>
      </c>
      <c r="Y397" s="27" t="s">
        <v>92</v>
      </c>
      <c r="Z397" s="27">
        <v>15</v>
      </c>
      <c r="AA397" s="27" t="s">
        <v>69</v>
      </c>
      <c r="AE397" s="27">
        <v>50</v>
      </c>
    </row>
    <row r="398" spans="1:31" ht="15" customHeight="1">
      <c r="A398" s="19">
        <v>36</v>
      </c>
      <c r="B398" s="19">
        <v>12</v>
      </c>
      <c r="C398" s="19" t="s">
        <v>31</v>
      </c>
      <c r="E398" s="27">
        <v>100</v>
      </c>
      <c r="L398" s="27" t="s">
        <v>112</v>
      </c>
      <c r="S398" s="27">
        <v>535</v>
      </c>
      <c r="T398" s="27" t="s">
        <v>57</v>
      </c>
      <c r="U398" s="27" t="s">
        <v>37</v>
      </c>
      <c r="V398" s="27" t="s">
        <v>137</v>
      </c>
      <c r="W398" s="27">
        <v>35</v>
      </c>
      <c r="X398" s="27" t="s">
        <v>138</v>
      </c>
      <c r="Y398" s="27" t="s">
        <v>92</v>
      </c>
      <c r="Z398" s="27">
        <v>15</v>
      </c>
      <c r="AA398" s="27" t="s">
        <v>69</v>
      </c>
      <c r="AE398" s="27">
        <v>50</v>
      </c>
    </row>
    <row r="399" spans="1:31" ht="15" customHeight="1">
      <c r="A399" s="19">
        <v>36</v>
      </c>
      <c r="B399" s="19">
        <v>13</v>
      </c>
      <c r="C399" s="19" t="s">
        <v>31</v>
      </c>
      <c r="E399" s="27">
        <v>100</v>
      </c>
      <c r="L399" s="27" t="s">
        <v>112</v>
      </c>
      <c r="S399" s="27">
        <v>535</v>
      </c>
      <c r="T399" s="27" t="s">
        <v>57</v>
      </c>
      <c r="U399" s="27" t="s">
        <v>37</v>
      </c>
      <c r="V399" s="27" t="s">
        <v>137</v>
      </c>
      <c r="W399" s="27">
        <v>35</v>
      </c>
      <c r="X399" s="27" t="s">
        <v>138</v>
      </c>
      <c r="Y399" s="27" t="s">
        <v>92</v>
      </c>
      <c r="Z399" s="27">
        <v>15</v>
      </c>
      <c r="AA399" s="27" t="s">
        <v>69</v>
      </c>
      <c r="AE399" s="27">
        <v>50</v>
      </c>
    </row>
    <row r="400" spans="1:31" ht="15" customHeight="1">
      <c r="A400" s="19">
        <v>36</v>
      </c>
      <c r="B400" s="19">
        <v>14</v>
      </c>
      <c r="C400" s="19" t="s">
        <v>31</v>
      </c>
      <c r="E400" s="27">
        <v>100</v>
      </c>
      <c r="L400" s="27" t="s">
        <v>112</v>
      </c>
      <c r="S400" s="27">
        <v>535</v>
      </c>
      <c r="T400" s="27" t="s">
        <v>57</v>
      </c>
      <c r="U400" s="27" t="s">
        <v>37</v>
      </c>
      <c r="V400" s="27" t="s">
        <v>137</v>
      </c>
      <c r="W400" s="27">
        <v>35</v>
      </c>
      <c r="X400" s="27" t="s">
        <v>138</v>
      </c>
      <c r="Y400" s="27" t="s">
        <v>92</v>
      </c>
      <c r="Z400" s="27">
        <v>15</v>
      </c>
      <c r="AA400" s="27" t="s">
        <v>69</v>
      </c>
      <c r="AE400" s="27">
        <v>50</v>
      </c>
    </row>
    <row r="401" spans="1:31" ht="15" customHeight="1">
      <c r="A401" s="19">
        <v>36</v>
      </c>
      <c r="B401" s="19">
        <v>15</v>
      </c>
      <c r="C401" s="19" t="s">
        <v>31</v>
      </c>
      <c r="E401" s="27">
        <v>100</v>
      </c>
      <c r="L401" s="27" t="s">
        <v>112</v>
      </c>
      <c r="S401" s="27">
        <v>308</v>
      </c>
      <c r="T401" s="27" t="s">
        <v>57</v>
      </c>
      <c r="U401" s="27" t="s">
        <v>35</v>
      </c>
      <c r="AE401" s="27">
        <v>100</v>
      </c>
    </row>
    <row r="402" spans="1:31" ht="15" customHeight="1">
      <c r="A402" s="19">
        <v>36</v>
      </c>
      <c r="B402" s="19">
        <v>16</v>
      </c>
      <c r="C402" s="19" t="s">
        <v>31</v>
      </c>
      <c r="E402" s="27">
        <v>100</v>
      </c>
      <c r="L402" s="27" t="s">
        <v>112</v>
      </c>
      <c r="S402" s="27">
        <v>308</v>
      </c>
      <c r="T402" s="27" t="s">
        <v>57</v>
      </c>
      <c r="U402" s="27" t="s">
        <v>35</v>
      </c>
      <c r="AE402" s="27">
        <v>100</v>
      </c>
    </row>
    <row r="403" spans="1:31" ht="15" customHeight="1">
      <c r="A403" s="19">
        <v>36</v>
      </c>
      <c r="B403" s="19">
        <v>17</v>
      </c>
      <c r="C403" s="19" t="s">
        <v>31</v>
      </c>
      <c r="E403" s="27">
        <v>100</v>
      </c>
      <c r="L403" s="27" t="s">
        <v>112</v>
      </c>
      <c r="S403" s="27">
        <v>308</v>
      </c>
      <c r="T403" s="27" t="s">
        <v>57</v>
      </c>
      <c r="U403" s="27" t="s">
        <v>35</v>
      </c>
      <c r="AE403" s="27">
        <v>100</v>
      </c>
    </row>
    <row r="404" spans="1:31" ht="15" customHeight="1">
      <c r="A404" s="19">
        <v>36</v>
      </c>
      <c r="B404" s="19">
        <v>18</v>
      </c>
      <c r="C404" s="19" t="s">
        <v>31</v>
      </c>
      <c r="E404" s="27">
        <v>100</v>
      </c>
      <c r="L404" s="27" t="s">
        <v>112</v>
      </c>
      <c r="S404" s="27">
        <v>308</v>
      </c>
      <c r="T404" s="27" t="s">
        <v>57</v>
      </c>
      <c r="U404" s="27" t="s">
        <v>35</v>
      </c>
      <c r="AE404" s="27">
        <v>100</v>
      </c>
    </row>
    <row r="405" spans="1:31" ht="15" customHeight="1">
      <c r="A405" s="19">
        <v>36</v>
      </c>
      <c r="B405" s="19">
        <v>19</v>
      </c>
      <c r="C405" s="19" t="s">
        <v>31</v>
      </c>
      <c r="E405" s="27">
        <v>100</v>
      </c>
      <c r="L405" s="27" t="s">
        <v>112</v>
      </c>
      <c r="S405" s="27">
        <v>308</v>
      </c>
      <c r="T405" s="27" t="s">
        <v>57</v>
      </c>
      <c r="U405" s="27" t="s">
        <v>35</v>
      </c>
      <c r="AE405" s="27">
        <v>100</v>
      </c>
    </row>
    <row r="406" spans="1:31" ht="15" customHeight="1">
      <c r="A406" s="19">
        <v>36</v>
      </c>
      <c r="B406" s="19">
        <v>20</v>
      </c>
      <c r="C406" s="19" t="s">
        <v>31</v>
      </c>
      <c r="E406" s="27">
        <v>100</v>
      </c>
      <c r="L406" s="27" t="s">
        <v>112</v>
      </c>
      <c r="S406" s="27">
        <v>308</v>
      </c>
      <c r="T406" s="27" t="s">
        <v>57</v>
      </c>
      <c r="U406" s="27" t="s">
        <v>35</v>
      </c>
      <c r="AE406" s="27">
        <v>100</v>
      </c>
    </row>
    <row r="407" spans="1:31" ht="15" customHeight="1">
      <c r="A407" s="19">
        <v>36</v>
      </c>
      <c r="B407" s="19">
        <v>21</v>
      </c>
      <c r="C407" s="19" t="s">
        <v>31</v>
      </c>
      <c r="E407" s="27">
        <v>100</v>
      </c>
      <c r="L407" s="27" t="s">
        <v>112</v>
      </c>
      <c r="S407" s="27">
        <v>308</v>
      </c>
      <c r="T407" s="27" t="s">
        <v>57</v>
      </c>
      <c r="U407" s="27" t="s">
        <v>35</v>
      </c>
      <c r="AE407" s="27">
        <v>100</v>
      </c>
    </row>
    <row r="408" spans="1:31" s="41" customFormat="1" ht="15" customHeight="1">
      <c r="A408" s="41">
        <v>37</v>
      </c>
      <c r="B408" s="41">
        <v>1</v>
      </c>
      <c r="C408" s="18" t="s">
        <v>31</v>
      </c>
      <c r="E408" s="41">
        <v>100</v>
      </c>
      <c r="G408" s="41">
        <v>155436</v>
      </c>
      <c r="H408" s="41" t="s">
        <v>32</v>
      </c>
      <c r="I408" s="41">
        <v>143258</v>
      </c>
      <c r="K408" s="41">
        <v>1.08</v>
      </c>
      <c r="U408" s="41" t="s">
        <v>35</v>
      </c>
      <c r="AE408" s="41">
        <v>100</v>
      </c>
    </row>
    <row r="409" spans="1:31" ht="15" customHeight="1">
      <c r="A409" s="27">
        <v>37</v>
      </c>
      <c r="B409" s="27">
        <v>2</v>
      </c>
      <c r="C409" s="19" t="s">
        <v>31</v>
      </c>
      <c r="E409" s="27">
        <v>100</v>
      </c>
      <c r="G409" s="27">
        <v>155436</v>
      </c>
      <c r="H409" s="27" t="s">
        <v>32</v>
      </c>
      <c r="I409" s="27">
        <v>143258</v>
      </c>
      <c r="K409" s="27">
        <v>1.08</v>
      </c>
      <c r="U409" s="27" t="s">
        <v>35</v>
      </c>
      <c r="AE409" s="27">
        <v>100</v>
      </c>
    </row>
    <row r="410" spans="1:31" ht="15" customHeight="1">
      <c r="A410" s="27">
        <v>37</v>
      </c>
      <c r="B410" s="27">
        <v>3</v>
      </c>
      <c r="C410" s="19" t="s">
        <v>31</v>
      </c>
      <c r="E410" s="27">
        <v>100</v>
      </c>
      <c r="G410" s="27">
        <v>155436</v>
      </c>
      <c r="H410" s="27" t="s">
        <v>32</v>
      </c>
      <c r="I410" s="27">
        <v>143258</v>
      </c>
      <c r="K410" s="27">
        <v>1.08</v>
      </c>
      <c r="U410" s="27" t="s">
        <v>35</v>
      </c>
      <c r="AE410" s="27">
        <v>100</v>
      </c>
    </row>
    <row r="411" spans="1:31" ht="15" customHeight="1">
      <c r="A411" s="27">
        <v>37</v>
      </c>
      <c r="B411" s="27">
        <v>4</v>
      </c>
      <c r="C411" s="19" t="s">
        <v>31</v>
      </c>
      <c r="E411" s="27">
        <v>100</v>
      </c>
      <c r="G411" s="27">
        <v>155436</v>
      </c>
      <c r="H411" s="27" t="s">
        <v>32</v>
      </c>
      <c r="I411" s="27">
        <v>143258</v>
      </c>
      <c r="K411" s="27">
        <v>1.08</v>
      </c>
      <c r="U411" s="27" t="s">
        <v>35</v>
      </c>
      <c r="AE411" s="27">
        <v>100</v>
      </c>
    </row>
    <row r="412" spans="1:31" s="41" customFormat="1" ht="15" customHeight="1">
      <c r="A412" s="41">
        <v>38</v>
      </c>
      <c r="B412" s="41">
        <v>1</v>
      </c>
      <c r="C412" s="18" t="s">
        <v>31</v>
      </c>
      <c r="D412" s="41" t="s">
        <v>36</v>
      </c>
      <c r="E412" s="41">
        <v>88</v>
      </c>
      <c r="F412" s="41">
        <v>12</v>
      </c>
      <c r="G412" s="41">
        <v>50000</v>
      </c>
      <c r="H412" s="41" t="s">
        <v>32</v>
      </c>
      <c r="L412" s="41" t="s">
        <v>33</v>
      </c>
      <c r="M412" s="41">
        <v>2</v>
      </c>
      <c r="N412" s="41" t="s">
        <v>46</v>
      </c>
      <c r="U412" s="41" t="s">
        <v>35</v>
      </c>
      <c r="AE412" s="41">
        <v>100</v>
      </c>
    </row>
    <row r="413" spans="1:31" ht="15" customHeight="1">
      <c r="A413" s="27">
        <v>38</v>
      </c>
      <c r="B413" s="27">
        <v>2</v>
      </c>
      <c r="C413" s="19" t="s">
        <v>31</v>
      </c>
      <c r="D413" s="27" t="s">
        <v>36</v>
      </c>
      <c r="E413" s="27">
        <v>88</v>
      </c>
      <c r="F413" s="27">
        <v>12</v>
      </c>
      <c r="G413" s="27">
        <v>50000</v>
      </c>
      <c r="H413" s="27" t="s">
        <v>32</v>
      </c>
      <c r="L413" s="27" t="s">
        <v>33</v>
      </c>
      <c r="M413" s="27">
        <v>2</v>
      </c>
      <c r="N413" s="27" t="s">
        <v>46</v>
      </c>
      <c r="U413" s="27" t="s">
        <v>37</v>
      </c>
      <c r="V413" s="27" t="s">
        <v>47</v>
      </c>
      <c r="W413" s="27">
        <v>25</v>
      </c>
      <c r="X413" s="27" t="s">
        <v>139</v>
      </c>
      <c r="AE413" s="27">
        <v>75</v>
      </c>
    </row>
    <row r="414" spans="1:31" ht="15" customHeight="1">
      <c r="A414" s="27">
        <v>38</v>
      </c>
      <c r="B414" s="27">
        <v>3</v>
      </c>
      <c r="C414" s="19" t="s">
        <v>31</v>
      </c>
      <c r="D414" s="27" t="s">
        <v>36</v>
      </c>
      <c r="E414" s="27">
        <v>88</v>
      </c>
      <c r="F414" s="27">
        <v>12</v>
      </c>
      <c r="G414" s="27">
        <v>50000</v>
      </c>
      <c r="H414" s="27" t="s">
        <v>32</v>
      </c>
      <c r="L414" s="27" t="s">
        <v>33</v>
      </c>
      <c r="M414" s="27">
        <v>2</v>
      </c>
      <c r="N414" s="27" t="s">
        <v>46</v>
      </c>
      <c r="U414" s="27" t="s">
        <v>37</v>
      </c>
      <c r="V414" s="27" t="s">
        <v>47</v>
      </c>
      <c r="W414" s="27">
        <v>50</v>
      </c>
      <c r="X414" s="27" t="s">
        <v>139</v>
      </c>
      <c r="AE414" s="27">
        <v>50</v>
      </c>
    </row>
    <row r="415" spans="1:31" ht="15" customHeight="1">
      <c r="A415" s="27">
        <v>38</v>
      </c>
      <c r="B415" s="27">
        <v>4</v>
      </c>
      <c r="C415" s="19" t="s">
        <v>31</v>
      </c>
      <c r="D415" s="27" t="s">
        <v>36</v>
      </c>
      <c r="E415" s="27">
        <v>88</v>
      </c>
      <c r="F415" s="27">
        <v>12</v>
      </c>
      <c r="G415" s="27">
        <v>50000</v>
      </c>
      <c r="H415" s="27" t="s">
        <v>32</v>
      </c>
      <c r="L415" s="27" t="s">
        <v>33</v>
      </c>
      <c r="M415" s="27">
        <v>2</v>
      </c>
      <c r="N415" s="27" t="s">
        <v>46</v>
      </c>
      <c r="U415" s="27" t="s">
        <v>35</v>
      </c>
      <c r="AE415" s="27">
        <v>100</v>
      </c>
    </row>
    <row r="416" spans="1:31" ht="15" customHeight="1">
      <c r="A416" s="27">
        <v>38</v>
      </c>
      <c r="B416" s="27">
        <v>5</v>
      </c>
      <c r="C416" s="19" t="s">
        <v>31</v>
      </c>
      <c r="D416" s="27" t="s">
        <v>36</v>
      </c>
      <c r="E416" s="27">
        <v>88</v>
      </c>
      <c r="F416" s="27">
        <v>12</v>
      </c>
      <c r="G416" s="27">
        <v>50000</v>
      </c>
      <c r="H416" s="27" t="s">
        <v>32</v>
      </c>
      <c r="L416" s="27" t="s">
        <v>33</v>
      </c>
      <c r="M416" s="27">
        <v>2</v>
      </c>
      <c r="N416" s="27" t="s">
        <v>46</v>
      </c>
      <c r="U416" s="27" t="s">
        <v>37</v>
      </c>
      <c r="V416" s="27" t="s">
        <v>47</v>
      </c>
      <c r="W416" s="27">
        <v>25</v>
      </c>
      <c r="X416" s="27" t="s">
        <v>139</v>
      </c>
      <c r="AE416" s="27">
        <v>75</v>
      </c>
    </row>
    <row r="417" spans="1:31" ht="15" customHeight="1">
      <c r="A417" s="27">
        <v>38</v>
      </c>
      <c r="B417" s="27">
        <v>6</v>
      </c>
      <c r="C417" s="19" t="s">
        <v>31</v>
      </c>
      <c r="D417" s="27" t="s">
        <v>36</v>
      </c>
      <c r="E417" s="27">
        <v>88</v>
      </c>
      <c r="F417" s="27">
        <v>12</v>
      </c>
      <c r="G417" s="27">
        <v>50000</v>
      </c>
      <c r="H417" s="27" t="s">
        <v>32</v>
      </c>
      <c r="L417" s="27" t="s">
        <v>33</v>
      </c>
      <c r="M417" s="27">
        <v>2</v>
      </c>
      <c r="N417" s="27" t="s">
        <v>46</v>
      </c>
      <c r="U417" s="27" t="s">
        <v>37</v>
      </c>
      <c r="V417" s="27" t="s">
        <v>47</v>
      </c>
      <c r="W417" s="27">
        <v>50</v>
      </c>
      <c r="X417" s="27" t="s">
        <v>139</v>
      </c>
      <c r="AE417" s="27">
        <v>50</v>
      </c>
    </row>
    <row r="418" spans="1:31" s="41" customFormat="1" ht="15" customHeight="1">
      <c r="A418" s="41">
        <v>39</v>
      </c>
      <c r="B418" s="41">
        <v>1</v>
      </c>
      <c r="C418" s="18" t="s">
        <v>31</v>
      </c>
      <c r="D418" s="41" t="s">
        <v>36</v>
      </c>
      <c r="E418" s="41">
        <v>92</v>
      </c>
      <c r="F418" s="41">
        <v>8</v>
      </c>
      <c r="L418" s="41" t="s">
        <v>56</v>
      </c>
      <c r="S418" s="41">
        <v>101.4</v>
      </c>
      <c r="T418" s="41" t="s">
        <v>57</v>
      </c>
      <c r="U418" s="41" t="s">
        <v>37</v>
      </c>
      <c r="V418" s="41" t="s">
        <v>140</v>
      </c>
      <c r="W418" s="41">
        <v>8.77</v>
      </c>
      <c r="X418" s="41" t="s">
        <v>55</v>
      </c>
      <c r="Y418" s="41" t="s">
        <v>141</v>
      </c>
      <c r="Z418" s="41">
        <v>3.51</v>
      </c>
      <c r="AA418" s="41" t="s">
        <v>142</v>
      </c>
      <c r="AE418" s="41">
        <v>87.72</v>
      </c>
    </row>
    <row r="419" spans="1:31" ht="15" customHeight="1">
      <c r="A419" s="27">
        <v>39</v>
      </c>
      <c r="B419" s="27">
        <v>2</v>
      </c>
      <c r="C419" s="19" t="s">
        <v>31</v>
      </c>
      <c r="D419" s="27" t="s">
        <v>36</v>
      </c>
      <c r="E419" s="27">
        <v>92</v>
      </c>
      <c r="F419" s="27">
        <v>8</v>
      </c>
      <c r="L419" s="27" t="s">
        <v>56</v>
      </c>
      <c r="S419" s="27">
        <v>101.4</v>
      </c>
      <c r="T419" s="27" t="s">
        <v>57</v>
      </c>
      <c r="U419" s="27" t="s">
        <v>37</v>
      </c>
      <c r="V419" s="27" t="s">
        <v>140</v>
      </c>
      <c r="W419" s="27">
        <v>8.77</v>
      </c>
      <c r="X419" s="27" t="s">
        <v>55</v>
      </c>
      <c r="Y419" s="27" t="s">
        <v>141</v>
      </c>
      <c r="Z419" s="27">
        <v>3.51</v>
      </c>
      <c r="AA419" s="27" t="s">
        <v>142</v>
      </c>
      <c r="AE419" s="27">
        <v>87.72</v>
      </c>
    </row>
    <row r="420" spans="1:31" ht="15" customHeight="1">
      <c r="A420" s="27">
        <v>39</v>
      </c>
      <c r="B420" s="27">
        <v>3</v>
      </c>
      <c r="C420" s="19" t="s">
        <v>31</v>
      </c>
      <c r="D420" s="27" t="s">
        <v>36</v>
      </c>
      <c r="E420" s="27">
        <v>92</v>
      </c>
      <c r="F420" s="27">
        <v>8</v>
      </c>
      <c r="L420" s="27" t="s">
        <v>56</v>
      </c>
      <c r="S420" s="27">
        <v>101.4</v>
      </c>
      <c r="T420" s="27" t="s">
        <v>57</v>
      </c>
      <c r="U420" s="27" t="s">
        <v>37</v>
      </c>
      <c r="V420" s="27" t="s">
        <v>140</v>
      </c>
      <c r="W420" s="27">
        <v>8.77</v>
      </c>
      <c r="X420" s="27" t="s">
        <v>55</v>
      </c>
      <c r="Y420" s="27" t="s">
        <v>141</v>
      </c>
      <c r="Z420" s="27">
        <v>3.51</v>
      </c>
      <c r="AA420" s="27" t="s">
        <v>142</v>
      </c>
      <c r="AE420" s="27">
        <v>87.72</v>
      </c>
    </row>
    <row r="421" spans="1:31" ht="15" customHeight="1">
      <c r="A421" s="27">
        <v>39</v>
      </c>
      <c r="B421" s="27">
        <v>4</v>
      </c>
      <c r="C421" s="19" t="s">
        <v>31</v>
      </c>
      <c r="D421" s="27" t="s">
        <v>36</v>
      </c>
      <c r="E421" s="27">
        <v>92</v>
      </c>
      <c r="F421" s="27">
        <v>8</v>
      </c>
      <c r="L421" s="27" t="s">
        <v>56</v>
      </c>
      <c r="S421" s="27">
        <v>101.4</v>
      </c>
      <c r="T421" s="27" t="s">
        <v>57</v>
      </c>
      <c r="U421" s="27" t="s">
        <v>37</v>
      </c>
      <c r="V421" s="27" t="s">
        <v>140</v>
      </c>
      <c r="W421" s="27">
        <v>8.77</v>
      </c>
      <c r="X421" s="27" t="s">
        <v>55</v>
      </c>
      <c r="Y421" s="27" t="s">
        <v>141</v>
      </c>
      <c r="Z421" s="27">
        <v>3.51</v>
      </c>
      <c r="AA421" s="27" t="s">
        <v>142</v>
      </c>
      <c r="AE421" s="27">
        <v>87.72</v>
      </c>
    </row>
    <row r="422" spans="1:31" ht="15" customHeight="1">
      <c r="A422" s="27">
        <v>39</v>
      </c>
      <c r="B422" s="27">
        <v>5</v>
      </c>
      <c r="C422" s="19" t="s">
        <v>31</v>
      </c>
      <c r="D422" s="27" t="s">
        <v>36</v>
      </c>
      <c r="E422" s="27">
        <v>92</v>
      </c>
      <c r="F422" s="27">
        <v>8</v>
      </c>
      <c r="L422" s="27" t="s">
        <v>56</v>
      </c>
      <c r="S422" s="27">
        <v>101.4</v>
      </c>
      <c r="T422" s="27" t="s">
        <v>57</v>
      </c>
      <c r="U422" s="27" t="s">
        <v>37</v>
      </c>
      <c r="V422" s="27" t="s">
        <v>140</v>
      </c>
      <c r="W422" s="27">
        <v>8.77</v>
      </c>
      <c r="X422" s="27" t="s">
        <v>55</v>
      </c>
      <c r="Y422" s="27" t="s">
        <v>141</v>
      </c>
      <c r="Z422" s="27">
        <v>3.51</v>
      </c>
      <c r="AA422" s="27" t="s">
        <v>142</v>
      </c>
      <c r="AE422" s="27">
        <v>87.72</v>
      </c>
    </row>
    <row r="423" spans="1:31" s="41" customFormat="1" ht="15" customHeight="1">
      <c r="A423" s="41">
        <v>40</v>
      </c>
      <c r="B423" s="41">
        <v>1</v>
      </c>
      <c r="C423" s="18" t="s">
        <v>31</v>
      </c>
      <c r="D423" s="41" t="s">
        <v>36</v>
      </c>
      <c r="E423" s="41">
        <v>88</v>
      </c>
      <c r="F423" s="41">
        <v>12</v>
      </c>
      <c r="G423" s="41">
        <v>680000</v>
      </c>
      <c r="H423" s="41" t="s">
        <v>32</v>
      </c>
      <c r="L423" s="41" t="s">
        <v>56</v>
      </c>
      <c r="S423" s="41">
        <v>90</v>
      </c>
      <c r="T423" s="41" t="s">
        <v>57</v>
      </c>
      <c r="U423" s="41" t="s">
        <v>35</v>
      </c>
      <c r="AE423" s="41">
        <v>100</v>
      </c>
    </row>
    <row r="424" spans="1:31" ht="15" customHeight="1">
      <c r="A424" s="27">
        <v>40</v>
      </c>
      <c r="B424" s="27">
        <v>2</v>
      </c>
      <c r="C424" s="19" t="s">
        <v>31</v>
      </c>
      <c r="D424" s="27" t="s">
        <v>36</v>
      </c>
      <c r="E424" s="27">
        <v>88</v>
      </c>
      <c r="F424" s="27">
        <v>12</v>
      </c>
      <c r="G424" s="27">
        <v>680000</v>
      </c>
      <c r="H424" s="27" t="s">
        <v>32</v>
      </c>
      <c r="L424" s="27" t="s">
        <v>56</v>
      </c>
      <c r="S424" s="27">
        <v>90</v>
      </c>
      <c r="T424" s="27" t="s">
        <v>57</v>
      </c>
      <c r="U424" s="27" t="s">
        <v>35</v>
      </c>
      <c r="AE424" s="27">
        <v>100</v>
      </c>
    </row>
    <row r="425" spans="1:31" ht="15" customHeight="1">
      <c r="A425" s="27">
        <v>40</v>
      </c>
      <c r="B425" s="27">
        <v>3</v>
      </c>
      <c r="C425" s="19" t="s">
        <v>31</v>
      </c>
      <c r="D425" s="27" t="s">
        <v>36</v>
      </c>
      <c r="E425" s="27">
        <v>88</v>
      </c>
      <c r="F425" s="27">
        <v>12</v>
      </c>
      <c r="G425" s="27">
        <v>680000</v>
      </c>
      <c r="H425" s="27" t="s">
        <v>32</v>
      </c>
      <c r="L425" s="27" t="s">
        <v>56</v>
      </c>
      <c r="S425" s="27">
        <v>90</v>
      </c>
      <c r="T425" s="27" t="s">
        <v>57</v>
      </c>
      <c r="U425" s="27" t="s">
        <v>35</v>
      </c>
      <c r="AE425" s="27">
        <v>100</v>
      </c>
    </row>
    <row r="426" spans="1:31" ht="15" customHeight="1">
      <c r="A426" s="27">
        <v>40</v>
      </c>
      <c r="B426" s="27">
        <v>4</v>
      </c>
      <c r="C426" s="19" t="s">
        <v>31</v>
      </c>
      <c r="D426" s="27" t="s">
        <v>36</v>
      </c>
      <c r="E426" s="27">
        <v>88</v>
      </c>
      <c r="F426" s="27">
        <v>12</v>
      </c>
      <c r="G426" s="27">
        <v>680000</v>
      </c>
      <c r="H426" s="27" t="s">
        <v>32</v>
      </c>
      <c r="L426" s="27" t="s">
        <v>56</v>
      </c>
      <c r="S426" s="27">
        <v>90</v>
      </c>
      <c r="T426" s="27" t="s">
        <v>57</v>
      </c>
      <c r="U426" s="27" t="s">
        <v>35</v>
      </c>
      <c r="AE426" s="27">
        <v>100</v>
      </c>
    </row>
    <row r="427" spans="1:31" ht="15" customHeight="1">
      <c r="A427" s="27">
        <v>40</v>
      </c>
      <c r="B427" s="27">
        <v>5</v>
      </c>
      <c r="C427" s="19" t="s">
        <v>31</v>
      </c>
      <c r="D427" s="27" t="s">
        <v>36</v>
      </c>
      <c r="E427" s="27">
        <v>88</v>
      </c>
      <c r="F427" s="27">
        <v>12</v>
      </c>
      <c r="G427" s="27">
        <v>680000</v>
      </c>
      <c r="H427" s="27" t="s">
        <v>32</v>
      </c>
      <c r="L427" s="27" t="s">
        <v>56</v>
      </c>
      <c r="S427" s="27">
        <v>90</v>
      </c>
      <c r="T427" s="27" t="s">
        <v>57</v>
      </c>
      <c r="U427" s="27" t="s">
        <v>37</v>
      </c>
      <c r="V427" s="27" t="s">
        <v>143</v>
      </c>
      <c r="W427" s="27">
        <v>26.33</v>
      </c>
      <c r="X427" s="27" t="s">
        <v>59</v>
      </c>
      <c r="Y427" s="27" t="s">
        <v>144</v>
      </c>
      <c r="Z427" s="27">
        <v>26.33</v>
      </c>
      <c r="AA427" s="27" t="s">
        <v>43</v>
      </c>
      <c r="AB427" s="27" t="s">
        <v>54</v>
      </c>
      <c r="AC427" s="27">
        <v>21.54</v>
      </c>
      <c r="AD427" s="27" t="s">
        <v>145</v>
      </c>
      <c r="AE427" s="27">
        <v>25.8</v>
      </c>
    </row>
    <row r="428" spans="1:31" ht="15" customHeight="1">
      <c r="A428" s="27">
        <v>40</v>
      </c>
      <c r="B428" s="27">
        <v>6</v>
      </c>
      <c r="C428" s="19" t="s">
        <v>31</v>
      </c>
      <c r="D428" s="27" t="s">
        <v>36</v>
      </c>
      <c r="E428" s="27">
        <v>88</v>
      </c>
      <c r="F428" s="27">
        <v>12</v>
      </c>
      <c r="G428" s="27">
        <v>680000</v>
      </c>
      <c r="H428" s="27" t="s">
        <v>32</v>
      </c>
      <c r="L428" s="27" t="s">
        <v>56</v>
      </c>
      <c r="S428" s="27">
        <v>90</v>
      </c>
      <c r="T428" s="27" t="s">
        <v>57</v>
      </c>
      <c r="U428" s="27" t="s">
        <v>37</v>
      </c>
      <c r="V428" s="27" t="s">
        <v>143</v>
      </c>
      <c r="W428" s="27">
        <v>26.33</v>
      </c>
      <c r="X428" s="27" t="s">
        <v>59</v>
      </c>
      <c r="Y428" s="27" t="s">
        <v>144</v>
      </c>
      <c r="Z428" s="27">
        <v>26.33</v>
      </c>
      <c r="AA428" s="27" t="s">
        <v>43</v>
      </c>
      <c r="AB428" s="27" t="s">
        <v>54</v>
      </c>
      <c r="AC428" s="27">
        <v>21.54</v>
      </c>
      <c r="AD428" s="27" t="s">
        <v>145</v>
      </c>
      <c r="AE428" s="27">
        <v>25.8</v>
      </c>
    </row>
    <row r="429" spans="1:31" ht="15" customHeight="1">
      <c r="A429" s="27">
        <v>40</v>
      </c>
      <c r="B429" s="27">
        <v>7</v>
      </c>
      <c r="C429" s="19" t="s">
        <v>31</v>
      </c>
      <c r="D429" s="27" t="s">
        <v>36</v>
      </c>
      <c r="E429" s="27">
        <v>88</v>
      </c>
      <c r="F429" s="27">
        <v>12</v>
      </c>
      <c r="G429" s="27">
        <v>680000</v>
      </c>
      <c r="H429" s="27" t="s">
        <v>32</v>
      </c>
      <c r="L429" s="27" t="s">
        <v>56</v>
      </c>
      <c r="S429" s="27">
        <v>90</v>
      </c>
      <c r="T429" s="27" t="s">
        <v>57</v>
      </c>
      <c r="U429" s="27" t="s">
        <v>37</v>
      </c>
      <c r="V429" s="27" t="s">
        <v>143</v>
      </c>
      <c r="W429" s="27">
        <v>26.33</v>
      </c>
      <c r="X429" s="27" t="s">
        <v>59</v>
      </c>
      <c r="Y429" s="27" t="s">
        <v>144</v>
      </c>
      <c r="Z429" s="27">
        <v>26.33</v>
      </c>
      <c r="AA429" s="27" t="s">
        <v>43</v>
      </c>
      <c r="AB429" s="27" t="s">
        <v>54</v>
      </c>
      <c r="AC429" s="27">
        <v>21.54</v>
      </c>
      <c r="AD429" s="27" t="s">
        <v>145</v>
      </c>
      <c r="AE429" s="27">
        <v>25.8</v>
      </c>
    </row>
    <row r="430" spans="1:31" ht="15" customHeight="1">
      <c r="A430" s="27">
        <v>40</v>
      </c>
      <c r="B430" s="27">
        <v>8</v>
      </c>
      <c r="C430" s="19" t="s">
        <v>31</v>
      </c>
      <c r="D430" s="27" t="s">
        <v>36</v>
      </c>
      <c r="E430" s="27">
        <v>88</v>
      </c>
      <c r="F430" s="27">
        <v>12</v>
      </c>
      <c r="G430" s="27">
        <v>680000</v>
      </c>
      <c r="H430" s="27" t="s">
        <v>32</v>
      </c>
      <c r="L430" s="27" t="s">
        <v>56</v>
      </c>
      <c r="S430" s="27">
        <v>90</v>
      </c>
      <c r="T430" s="27" t="s">
        <v>57</v>
      </c>
      <c r="U430" s="27" t="s">
        <v>37</v>
      </c>
      <c r="V430" s="27" t="s">
        <v>143</v>
      </c>
      <c r="W430" s="27">
        <v>26.33</v>
      </c>
      <c r="X430" s="27" t="s">
        <v>59</v>
      </c>
      <c r="Y430" s="27" t="s">
        <v>144</v>
      </c>
      <c r="Z430" s="27">
        <v>26.33</v>
      </c>
      <c r="AA430" s="27" t="s">
        <v>43</v>
      </c>
      <c r="AB430" s="27" t="s">
        <v>54</v>
      </c>
      <c r="AC430" s="27">
        <v>21.54</v>
      </c>
      <c r="AD430" s="27" t="s">
        <v>145</v>
      </c>
      <c r="AE430" s="27">
        <v>25.8</v>
      </c>
    </row>
    <row r="431" spans="1:31" ht="15" customHeight="1">
      <c r="A431" s="27">
        <v>40</v>
      </c>
      <c r="B431" s="27">
        <v>9</v>
      </c>
      <c r="C431" s="19" t="s">
        <v>31</v>
      </c>
      <c r="D431" s="27" t="s">
        <v>36</v>
      </c>
      <c r="E431" s="27">
        <v>88</v>
      </c>
      <c r="F431" s="27">
        <v>12</v>
      </c>
      <c r="G431" s="27">
        <v>680000</v>
      </c>
      <c r="H431" s="27" t="s">
        <v>32</v>
      </c>
      <c r="L431" s="27" t="s">
        <v>56</v>
      </c>
      <c r="S431" s="27">
        <v>90</v>
      </c>
      <c r="T431" s="27" t="s">
        <v>57</v>
      </c>
      <c r="U431" s="27" t="s">
        <v>37</v>
      </c>
      <c r="V431" s="27" t="s">
        <v>143</v>
      </c>
      <c r="W431" s="27">
        <v>26.33</v>
      </c>
      <c r="X431" s="27" t="s">
        <v>59</v>
      </c>
      <c r="Y431" s="27" t="s">
        <v>144</v>
      </c>
      <c r="Z431" s="27">
        <v>26.33</v>
      </c>
      <c r="AA431" s="27" t="s">
        <v>43</v>
      </c>
      <c r="AB431" s="27" t="s">
        <v>54</v>
      </c>
      <c r="AC431" s="27">
        <v>21.54</v>
      </c>
      <c r="AD431" s="27" t="s">
        <v>145</v>
      </c>
      <c r="AE431" s="27">
        <v>25.8</v>
      </c>
    </row>
    <row r="432" spans="1:31" ht="15" customHeight="1">
      <c r="A432" s="27">
        <v>40</v>
      </c>
      <c r="B432" s="27">
        <v>10</v>
      </c>
      <c r="C432" s="19" t="s">
        <v>31</v>
      </c>
      <c r="D432" s="27" t="s">
        <v>36</v>
      </c>
      <c r="E432" s="27">
        <v>88</v>
      </c>
      <c r="F432" s="27">
        <v>12</v>
      </c>
      <c r="G432" s="27">
        <v>680000</v>
      </c>
      <c r="H432" s="27" t="s">
        <v>32</v>
      </c>
      <c r="L432" s="27" t="s">
        <v>56</v>
      </c>
      <c r="S432" s="27">
        <v>90</v>
      </c>
      <c r="T432" s="27" t="s">
        <v>57</v>
      </c>
      <c r="U432" s="27" t="s">
        <v>37</v>
      </c>
      <c r="V432" s="27" t="s">
        <v>143</v>
      </c>
      <c r="W432" s="27">
        <v>26.33</v>
      </c>
      <c r="X432" s="27" t="s">
        <v>59</v>
      </c>
      <c r="Y432" s="27" t="s">
        <v>144</v>
      </c>
      <c r="Z432" s="27">
        <v>26.33</v>
      </c>
      <c r="AA432" s="27" t="s">
        <v>43</v>
      </c>
      <c r="AB432" s="27" t="s">
        <v>54</v>
      </c>
      <c r="AC432" s="27">
        <v>21.54</v>
      </c>
      <c r="AD432" s="27" t="s">
        <v>145</v>
      </c>
      <c r="AE432" s="27">
        <v>25.8</v>
      </c>
    </row>
    <row r="433" spans="1:31" ht="15" customHeight="1">
      <c r="A433" s="27">
        <v>40</v>
      </c>
      <c r="B433" s="27">
        <v>11</v>
      </c>
      <c r="C433" s="19" t="s">
        <v>31</v>
      </c>
      <c r="D433" s="27" t="s">
        <v>36</v>
      </c>
      <c r="E433" s="27">
        <v>88</v>
      </c>
      <c r="F433" s="27">
        <v>12</v>
      </c>
      <c r="G433" s="27">
        <v>680000</v>
      </c>
      <c r="H433" s="27" t="s">
        <v>32</v>
      </c>
      <c r="L433" s="27" t="s">
        <v>56</v>
      </c>
      <c r="S433" s="27">
        <v>90</v>
      </c>
      <c r="T433" s="27" t="s">
        <v>57</v>
      </c>
      <c r="U433" s="27" t="s">
        <v>37</v>
      </c>
      <c r="V433" s="27" t="s">
        <v>143</v>
      </c>
      <c r="W433" s="27">
        <v>26.33</v>
      </c>
      <c r="X433" s="27" t="s">
        <v>59</v>
      </c>
      <c r="Y433" s="27" t="s">
        <v>144</v>
      </c>
      <c r="Z433" s="27">
        <v>26.33</v>
      </c>
      <c r="AA433" s="27" t="s">
        <v>43</v>
      </c>
      <c r="AB433" s="27" t="s">
        <v>54</v>
      </c>
      <c r="AC433" s="27">
        <v>21.54</v>
      </c>
      <c r="AD433" s="27" t="s">
        <v>145</v>
      </c>
      <c r="AE433" s="27">
        <v>25.8</v>
      </c>
    </row>
    <row r="434" spans="1:31" ht="15" customHeight="1">
      <c r="A434" s="27">
        <v>40</v>
      </c>
      <c r="B434" s="27">
        <v>12</v>
      </c>
      <c r="C434" s="19" t="s">
        <v>31</v>
      </c>
      <c r="D434" s="27" t="s">
        <v>36</v>
      </c>
      <c r="E434" s="27">
        <v>88</v>
      </c>
      <c r="F434" s="27">
        <v>12</v>
      </c>
      <c r="G434" s="27">
        <v>680000</v>
      </c>
      <c r="H434" s="27" t="s">
        <v>32</v>
      </c>
      <c r="L434" s="27" t="s">
        <v>56</v>
      </c>
      <c r="S434" s="27">
        <v>90</v>
      </c>
      <c r="T434" s="27" t="s">
        <v>57</v>
      </c>
      <c r="U434" s="27" t="s">
        <v>37</v>
      </c>
      <c r="V434" s="27" t="s">
        <v>143</v>
      </c>
      <c r="W434" s="27">
        <v>26.33</v>
      </c>
      <c r="X434" s="27" t="s">
        <v>59</v>
      </c>
      <c r="Y434" s="27" t="s">
        <v>144</v>
      </c>
      <c r="Z434" s="27">
        <v>26.33</v>
      </c>
      <c r="AA434" s="27" t="s">
        <v>43</v>
      </c>
      <c r="AB434" s="27" t="s">
        <v>54</v>
      </c>
      <c r="AC434" s="27">
        <v>21.54</v>
      </c>
      <c r="AD434" s="27" t="s">
        <v>145</v>
      </c>
      <c r="AE434" s="27">
        <v>25.8</v>
      </c>
    </row>
    <row r="435" spans="1:31" s="41" customFormat="1" ht="15" customHeight="1">
      <c r="A435" s="18">
        <v>41</v>
      </c>
      <c r="B435" s="18">
        <v>1</v>
      </c>
      <c r="C435" s="18" t="s">
        <v>31</v>
      </c>
      <c r="E435" s="41">
        <v>100</v>
      </c>
      <c r="L435" s="41" t="s">
        <v>73</v>
      </c>
      <c r="O435" s="41">
        <v>0.32</v>
      </c>
      <c r="P435" s="41" t="s">
        <v>146</v>
      </c>
      <c r="U435" s="41" t="s">
        <v>35</v>
      </c>
      <c r="AE435" s="41">
        <v>100</v>
      </c>
    </row>
    <row r="436" spans="1:31" ht="15" customHeight="1">
      <c r="A436" s="19">
        <v>41</v>
      </c>
      <c r="B436" s="19">
        <v>2</v>
      </c>
      <c r="C436" s="19" t="s">
        <v>31</v>
      </c>
      <c r="E436" s="27">
        <v>100</v>
      </c>
      <c r="L436" s="27" t="s">
        <v>73</v>
      </c>
      <c r="O436" s="27">
        <v>0.32</v>
      </c>
      <c r="P436" s="27" t="s">
        <v>146</v>
      </c>
      <c r="U436" s="27" t="s">
        <v>37</v>
      </c>
      <c r="V436" s="27" t="s">
        <v>147</v>
      </c>
      <c r="W436" s="27">
        <v>5</v>
      </c>
      <c r="X436" s="27" t="s">
        <v>72</v>
      </c>
      <c r="AE436" s="27">
        <v>95</v>
      </c>
    </row>
    <row r="437" spans="1:31" ht="15" customHeight="1">
      <c r="A437" s="19">
        <v>41</v>
      </c>
      <c r="B437" s="19">
        <v>3</v>
      </c>
      <c r="C437" s="19" t="s">
        <v>31</v>
      </c>
      <c r="E437" s="27">
        <v>100</v>
      </c>
      <c r="L437" s="27" t="s">
        <v>73</v>
      </c>
      <c r="O437" s="27">
        <v>0.32</v>
      </c>
      <c r="P437" s="27" t="s">
        <v>146</v>
      </c>
      <c r="U437" s="27" t="s">
        <v>37</v>
      </c>
      <c r="V437" s="27" t="s">
        <v>148</v>
      </c>
      <c r="W437" s="27">
        <v>1</v>
      </c>
      <c r="X437" s="27" t="s">
        <v>65</v>
      </c>
      <c r="Y437" s="27" t="s">
        <v>147</v>
      </c>
      <c r="Z437" s="27">
        <v>4</v>
      </c>
      <c r="AA437" s="27" t="s">
        <v>72</v>
      </c>
      <c r="AE437" s="27">
        <v>96</v>
      </c>
    </row>
    <row r="438" spans="1:31" ht="15" customHeight="1">
      <c r="A438" s="19">
        <v>41</v>
      </c>
      <c r="B438" s="19">
        <v>4</v>
      </c>
      <c r="C438" s="19" t="s">
        <v>31</v>
      </c>
      <c r="E438" s="27">
        <v>100</v>
      </c>
      <c r="L438" s="27" t="s">
        <v>73</v>
      </c>
      <c r="O438" s="27">
        <v>0.32</v>
      </c>
      <c r="P438" s="27" t="s">
        <v>146</v>
      </c>
      <c r="U438" s="27" t="s">
        <v>37</v>
      </c>
      <c r="V438" s="27" t="s">
        <v>148</v>
      </c>
      <c r="W438" s="27">
        <v>2</v>
      </c>
      <c r="X438" s="27" t="s">
        <v>65</v>
      </c>
      <c r="Y438" s="27" t="s">
        <v>147</v>
      </c>
      <c r="Z438" s="27">
        <v>5</v>
      </c>
      <c r="AA438" s="27" t="s">
        <v>72</v>
      </c>
      <c r="AE438" s="27">
        <v>93</v>
      </c>
    </row>
    <row r="439" spans="1:31" ht="15" customHeight="1">
      <c r="A439" s="19">
        <v>41</v>
      </c>
      <c r="B439" s="19">
        <v>5</v>
      </c>
      <c r="C439" s="19" t="s">
        <v>31</v>
      </c>
      <c r="E439" s="27">
        <v>100</v>
      </c>
      <c r="L439" s="27" t="s">
        <v>73</v>
      </c>
      <c r="O439" s="27">
        <v>0.32</v>
      </c>
      <c r="P439" s="27" t="s">
        <v>146</v>
      </c>
      <c r="U439" s="27" t="s">
        <v>37</v>
      </c>
      <c r="V439" s="27" t="s">
        <v>148</v>
      </c>
      <c r="W439" s="27">
        <v>5</v>
      </c>
      <c r="X439" s="27" t="s">
        <v>65</v>
      </c>
      <c r="Y439" s="27" t="s">
        <v>147</v>
      </c>
      <c r="Z439" s="27">
        <v>5</v>
      </c>
      <c r="AA439" s="27" t="s">
        <v>72</v>
      </c>
      <c r="AE439" s="27">
        <v>90</v>
      </c>
    </row>
    <row r="440" spans="1:31" s="41" customFormat="1" ht="15" customHeight="1">
      <c r="A440" s="18">
        <v>42</v>
      </c>
      <c r="B440" s="18">
        <v>1</v>
      </c>
      <c r="C440" s="18" t="s">
        <v>31</v>
      </c>
      <c r="E440" s="41">
        <v>100</v>
      </c>
      <c r="L440" s="41" t="s">
        <v>33</v>
      </c>
      <c r="M440" s="41">
        <v>0.2</v>
      </c>
      <c r="N440" s="41" t="s">
        <v>46</v>
      </c>
      <c r="U440" s="41" t="s">
        <v>37</v>
      </c>
      <c r="V440" s="41" t="s">
        <v>147</v>
      </c>
      <c r="W440" s="41">
        <v>50</v>
      </c>
      <c r="X440" s="41" t="s">
        <v>72</v>
      </c>
      <c r="AE440" s="41">
        <v>50</v>
      </c>
    </row>
    <row r="441" spans="1:31" ht="15" customHeight="1">
      <c r="A441" s="19">
        <v>42</v>
      </c>
      <c r="B441" s="19">
        <v>2</v>
      </c>
      <c r="C441" s="19" t="s">
        <v>31</v>
      </c>
      <c r="E441" s="27">
        <v>100</v>
      </c>
      <c r="L441" s="27" t="s">
        <v>33</v>
      </c>
      <c r="M441" s="27">
        <v>0.2</v>
      </c>
      <c r="N441" s="27" t="s">
        <v>46</v>
      </c>
      <c r="U441" s="27" t="s">
        <v>37</v>
      </c>
      <c r="V441" s="27" t="s">
        <v>147</v>
      </c>
      <c r="W441" s="27">
        <v>20</v>
      </c>
      <c r="X441" s="27" t="s">
        <v>72</v>
      </c>
      <c r="AE441" s="27">
        <v>80</v>
      </c>
    </row>
    <row r="442" spans="1:31" s="41" customFormat="1" ht="15" customHeight="1">
      <c r="C442" s="18"/>
    </row>
  </sheetData>
  <autoFilter ref="A1:AT441" xr:uid="{00000000-0001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42"/>
  <sheetViews>
    <sheetView workbookViewId="0">
      <pane ySplit="1" topLeftCell="A68" activePane="bottomLeft" state="frozen"/>
      <selection pane="bottomLeft" activeCell="G452" sqref="G452"/>
    </sheetView>
  </sheetViews>
  <sheetFormatPr defaultColWidth="14.42578125" defaultRowHeight="15" customHeight="1"/>
  <cols>
    <col min="1" max="1" width="8.7109375" style="19" customWidth="1"/>
    <col min="2" max="2" width="10.28515625" style="19" customWidth="1"/>
    <col min="3" max="4" width="15" style="19" customWidth="1"/>
    <col min="5" max="5" width="22.42578125" style="19" bestFit="1" customWidth="1"/>
    <col min="6" max="6" width="37" style="19" bestFit="1" customWidth="1"/>
    <col min="7" max="7" width="37" style="19" customWidth="1"/>
    <col min="8" max="8" width="24.85546875" style="19" customWidth="1"/>
    <col min="9" max="9" width="22.42578125" style="19" customWidth="1"/>
    <col min="10" max="10" width="27.7109375" style="19" customWidth="1"/>
    <col min="11" max="11" width="65.28515625" style="27" bestFit="1" customWidth="1"/>
    <col min="12" max="12" width="48.7109375" style="19" bestFit="1" customWidth="1"/>
    <col min="13" max="14" width="22.140625" style="19" customWidth="1"/>
    <col min="15" max="15" width="22.140625" style="79" customWidth="1"/>
    <col min="16" max="17" width="22.140625" style="19" customWidth="1"/>
    <col min="18" max="18" width="22.5703125" style="19" customWidth="1"/>
    <col min="19" max="19" width="28.28515625" style="19" customWidth="1"/>
    <col min="20" max="20" width="15.42578125" style="19" customWidth="1"/>
    <col min="21" max="22" width="15" style="19" customWidth="1"/>
    <col min="23" max="23" width="20.85546875" style="19" customWidth="1"/>
    <col min="24" max="24" width="22.140625" style="19" customWidth="1"/>
    <col min="25" max="25" width="26.7109375" style="19" customWidth="1"/>
    <col min="26" max="26" width="21.5703125" style="19" customWidth="1"/>
    <col min="27" max="27" width="32.85546875" style="19" customWidth="1"/>
    <col min="28" max="28" width="33.7109375" style="19" customWidth="1"/>
    <col min="29" max="43" width="8.7109375" style="19" customWidth="1"/>
    <col min="44" max="16384" width="14.42578125" style="19"/>
  </cols>
  <sheetData>
    <row r="1" spans="1:28" ht="14.25" customHeight="1">
      <c r="A1" s="5" t="s">
        <v>0</v>
      </c>
      <c r="B1" s="6" t="s">
        <v>1</v>
      </c>
      <c r="C1" s="7" t="s">
        <v>149</v>
      </c>
      <c r="D1" s="7" t="s">
        <v>150</v>
      </c>
      <c r="E1" s="7" t="s">
        <v>151</v>
      </c>
      <c r="F1" s="8" t="s">
        <v>152</v>
      </c>
      <c r="G1" s="7" t="s">
        <v>153</v>
      </c>
      <c r="H1" s="7" t="s">
        <v>154</v>
      </c>
      <c r="I1" s="7" t="s">
        <v>155</v>
      </c>
      <c r="J1" s="7" t="s">
        <v>156</v>
      </c>
      <c r="K1" s="81" t="s">
        <v>157</v>
      </c>
      <c r="L1" s="7" t="s">
        <v>158</v>
      </c>
      <c r="M1" s="7" t="s">
        <v>159</v>
      </c>
      <c r="N1" s="7" t="s">
        <v>160</v>
      </c>
      <c r="O1" s="75" t="s">
        <v>161</v>
      </c>
      <c r="P1" s="5" t="s">
        <v>162</v>
      </c>
      <c r="Q1" s="7" t="s">
        <v>163</v>
      </c>
      <c r="R1" s="7" t="s">
        <v>164</v>
      </c>
      <c r="S1" s="7" t="s">
        <v>165</v>
      </c>
      <c r="T1" s="7" t="s">
        <v>166</v>
      </c>
      <c r="U1" s="7" t="s">
        <v>167</v>
      </c>
      <c r="V1" s="7" t="s">
        <v>168</v>
      </c>
      <c r="W1" s="7" t="s">
        <v>169</v>
      </c>
      <c r="X1" s="7" t="s">
        <v>170</v>
      </c>
      <c r="Y1" s="7" t="s">
        <v>171</v>
      </c>
      <c r="Z1" s="7" t="s">
        <v>172</v>
      </c>
      <c r="AA1" s="7" t="s">
        <v>173</v>
      </c>
      <c r="AB1" s="7" t="s">
        <v>174</v>
      </c>
    </row>
    <row r="2" spans="1:28" ht="14.25" customHeight="1">
      <c r="A2" s="10">
        <v>1</v>
      </c>
      <c r="B2" s="10">
        <v>1</v>
      </c>
      <c r="C2" s="9" t="s">
        <v>175</v>
      </c>
      <c r="D2" s="9"/>
      <c r="E2" s="11" t="s">
        <v>176</v>
      </c>
      <c r="F2" s="9" t="s">
        <v>177</v>
      </c>
      <c r="G2" s="9" t="s">
        <v>178</v>
      </c>
      <c r="H2" s="11" t="s">
        <v>179</v>
      </c>
      <c r="I2" s="9">
        <v>10000</v>
      </c>
      <c r="J2" s="9" t="s">
        <v>180</v>
      </c>
      <c r="K2" s="27" t="s">
        <v>181</v>
      </c>
      <c r="L2" s="9" t="s">
        <v>182</v>
      </c>
      <c r="M2" s="9"/>
      <c r="N2" s="9"/>
      <c r="O2" s="76">
        <v>0</v>
      </c>
      <c r="P2" s="10">
        <v>72</v>
      </c>
      <c r="Q2" s="9" t="s">
        <v>183</v>
      </c>
      <c r="R2" s="10">
        <v>37</v>
      </c>
      <c r="S2" s="9" t="s">
        <v>184</v>
      </c>
      <c r="T2" s="9"/>
      <c r="U2" s="9"/>
      <c r="V2" s="9"/>
      <c r="W2" s="9"/>
      <c r="X2" s="9"/>
      <c r="Y2" s="9"/>
      <c r="Z2" s="9"/>
      <c r="AA2" s="9">
        <v>0.5</v>
      </c>
      <c r="AB2" s="9" t="s">
        <v>185</v>
      </c>
    </row>
    <row r="3" spans="1:28" ht="14.25" customHeight="1">
      <c r="A3" s="10">
        <v>1</v>
      </c>
      <c r="B3" s="10">
        <v>2</v>
      </c>
      <c r="C3" s="9" t="s">
        <v>175</v>
      </c>
      <c r="D3" s="9"/>
      <c r="E3" s="11" t="s">
        <v>176</v>
      </c>
      <c r="F3" s="9" t="s">
        <v>177</v>
      </c>
      <c r="G3" s="9" t="s">
        <v>178</v>
      </c>
      <c r="H3" s="11" t="s">
        <v>179</v>
      </c>
      <c r="I3" s="9">
        <v>10000</v>
      </c>
      <c r="J3" s="9" t="s">
        <v>180</v>
      </c>
      <c r="K3" s="27" t="s">
        <v>181</v>
      </c>
      <c r="L3" s="9" t="s">
        <v>182</v>
      </c>
      <c r="M3" s="9"/>
      <c r="N3" s="9"/>
      <c r="O3" s="76">
        <v>1</v>
      </c>
      <c r="P3" s="10">
        <v>72</v>
      </c>
      <c r="Q3" s="9" t="s">
        <v>183</v>
      </c>
      <c r="R3" s="10">
        <v>37</v>
      </c>
      <c r="S3" s="9" t="s">
        <v>184</v>
      </c>
      <c r="T3" s="9"/>
      <c r="U3" s="9"/>
      <c r="V3" s="9"/>
      <c r="W3" s="9"/>
      <c r="X3" s="9"/>
      <c r="Y3" s="9"/>
      <c r="Z3" s="9"/>
      <c r="AA3" s="9">
        <v>0.5</v>
      </c>
      <c r="AB3" s="9" t="s">
        <v>185</v>
      </c>
    </row>
    <row r="4" spans="1:28" ht="14.25" customHeight="1">
      <c r="A4" s="10">
        <v>1</v>
      </c>
      <c r="B4" s="10">
        <v>3</v>
      </c>
      <c r="C4" s="9" t="s">
        <v>175</v>
      </c>
      <c r="D4" s="9"/>
      <c r="E4" s="11" t="s">
        <v>176</v>
      </c>
      <c r="F4" s="9" t="s">
        <v>177</v>
      </c>
      <c r="G4" s="9" t="s">
        <v>178</v>
      </c>
      <c r="H4" s="11" t="s">
        <v>179</v>
      </c>
      <c r="I4" s="9">
        <v>10000</v>
      </c>
      <c r="J4" s="9" t="s">
        <v>180</v>
      </c>
      <c r="K4" s="27" t="s">
        <v>181</v>
      </c>
      <c r="L4" s="9" t="s">
        <v>182</v>
      </c>
      <c r="M4" s="9"/>
      <c r="N4" s="9"/>
      <c r="O4" s="76">
        <v>0.1</v>
      </c>
      <c r="P4" s="10">
        <v>72</v>
      </c>
      <c r="Q4" s="9" t="s">
        <v>183</v>
      </c>
      <c r="R4" s="10">
        <v>37</v>
      </c>
      <c r="S4" s="9" t="s">
        <v>184</v>
      </c>
      <c r="T4" s="9"/>
      <c r="U4" s="9"/>
      <c r="V4" s="9"/>
      <c r="W4" s="9"/>
      <c r="X4" s="9"/>
      <c r="Y4" s="9"/>
      <c r="Z4" s="9"/>
      <c r="AA4" s="9">
        <v>0.5</v>
      </c>
      <c r="AB4" s="9" t="s">
        <v>185</v>
      </c>
    </row>
    <row r="5" spans="1:28" ht="14.25" customHeight="1">
      <c r="A5" s="10">
        <v>1</v>
      </c>
      <c r="B5" s="10">
        <v>4</v>
      </c>
      <c r="C5" s="9" t="s">
        <v>175</v>
      </c>
      <c r="D5" s="9"/>
      <c r="E5" s="11" t="s">
        <v>176</v>
      </c>
      <c r="F5" s="9" t="s">
        <v>177</v>
      </c>
      <c r="G5" s="9" t="s">
        <v>178</v>
      </c>
      <c r="H5" s="11" t="s">
        <v>179</v>
      </c>
      <c r="I5" s="9">
        <v>10000</v>
      </c>
      <c r="J5" s="9" t="s">
        <v>180</v>
      </c>
      <c r="K5" s="27" t="s">
        <v>181</v>
      </c>
      <c r="L5" s="9" t="s">
        <v>182</v>
      </c>
      <c r="M5" s="9"/>
      <c r="N5" s="9"/>
      <c r="O5" s="76">
        <v>0.01</v>
      </c>
      <c r="P5" s="10">
        <v>72</v>
      </c>
      <c r="Q5" s="9" t="s">
        <v>183</v>
      </c>
      <c r="R5" s="10">
        <v>37</v>
      </c>
      <c r="S5" s="9" t="s">
        <v>184</v>
      </c>
      <c r="T5" s="9"/>
      <c r="U5" s="9"/>
      <c r="V5" s="9"/>
      <c r="W5" s="9"/>
      <c r="X5" s="9"/>
      <c r="Y5" s="9"/>
      <c r="Z5" s="9"/>
      <c r="AA5" s="9">
        <v>0.5</v>
      </c>
      <c r="AB5" s="9" t="s">
        <v>185</v>
      </c>
    </row>
    <row r="6" spans="1:28" ht="14.25" customHeight="1">
      <c r="A6" s="10">
        <v>1</v>
      </c>
      <c r="B6" s="10">
        <v>5</v>
      </c>
      <c r="C6" s="9" t="s">
        <v>175</v>
      </c>
      <c r="D6" s="9"/>
      <c r="E6" s="11" t="s">
        <v>176</v>
      </c>
      <c r="F6" s="9" t="s">
        <v>177</v>
      </c>
      <c r="G6" s="9" t="s">
        <v>178</v>
      </c>
      <c r="H6" s="11" t="s">
        <v>179</v>
      </c>
      <c r="I6" s="9">
        <v>10000</v>
      </c>
      <c r="J6" s="9" t="s">
        <v>180</v>
      </c>
      <c r="K6" s="27" t="s">
        <v>181</v>
      </c>
      <c r="L6" s="9" t="s">
        <v>182</v>
      </c>
      <c r="M6" s="9"/>
      <c r="N6" s="9"/>
      <c r="O6" s="76">
        <v>1E-3</v>
      </c>
      <c r="P6" s="10">
        <v>72</v>
      </c>
      <c r="Q6" s="9" t="s">
        <v>183</v>
      </c>
      <c r="R6" s="10">
        <v>37</v>
      </c>
      <c r="S6" s="9" t="s">
        <v>184</v>
      </c>
      <c r="T6" s="9"/>
      <c r="U6" s="9"/>
      <c r="V6" s="9"/>
      <c r="W6" s="9"/>
      <c r="X6" s="9"/>
      <c r="Y6" s="9"/>
      <c r="Z6" s="9"/>
      <c r="AA6" s="9">
        <v>0.5</v>
      </c>
      <c r="AB6" s="9" t="s">
        <v>185</v>
      </c>
    </row>
    <row r="7" spans="1:28" ht="14.25" customHeight="1">
      <c r="A7" s="10">
        <v>1</v>
      </c>
      <c r="B7" s="10">
        <v>6</v>
      </c>
      <c r="C7" s="9" t="s">
        <v>175</v>
      </c>
      <c r="D7" s="9"/>
      <c r="E7" s="11" t="s">
        <v>176</v>
      </c>
      <c r="F7" s="9" t="s">
        <v>177</v>
      </c>
      <c r="G7" s="9" t="s">
        <v>178</v>
      </c>
      <c r="H7" s="11" t="s">
        <v>179</v>
      </c>
      <c r="I7" s="9">
        <v>10000</v>
      </c>
      <c r="J7" s="9" t="s">
        <v>180</v>
      </c>
      <c r="K7" s="27" t="s">
        <v>181</v>
      </c>
      <c r="L7" s="9" t="s">
        <v>182</v>
      </c>
      <c r="M7" s="9"/>
      <c r="N7" s="9"/>
      <c r="O7" s="76">
        <v>0</v>
      </c>
      <c r="P7" s="10">
        <v>72</v>
      </c>
      <c r="Q7" s="9" t="s">
        <v>183</v>
      </c>
      <c r="R7" s="10">
        <v>37</v>
      </c>
      <c r="S7" s="9" t="s">
        <v>184</v>
      </c>
      <c r="T7" s="9"/>
      <c r="U7" s="9"/>
      <c r="V7" s="9"/>
      <c r="W7" s="9"/>
      <c r="X7" s="9"/>
      <c r="Y7" s="9"/>
      <c r="Z7" s="9"/>
      <c r="AA7" s="9">
        <v>0.5</v>
      </c>
      <c r="AB7" s="9" t="s">
        <v>185</v>
      </c>
    </row>
    <row r="8" spans="1:28" ht="14.25" customHeight="1">
      <c r="A8" s="10">
        <v>1</v>
      </c>
      <c r="B8" s="10">
        <v>7</v>
      </c>
      <c r="C8" s="9" t="s">
        <v>175</v>
      </c>
      <c r="D8" s="9"/>
      <c r="E8" s="11" t="s">
        <v>176</v>
      </c>
      <c r="F8" s="9" t="s">
        <v>177</v>
      </c>
      <c r="G8" s="9" t="s">
        <v>178</v>
      </c>
      <c r="H8" s="11" t="s">
        <v>179</v>
      </c>
      <c r="I8" s="9">
        <v>10000</v>
      </c>
      <c r="J8" s="9" t="s">
        <v>180</v>
      </c>
      <c r="K8" s="27" t="s">
        <v>181</v>
      </c>
      <c r="L8" s="9" t="s">
        <v>182</v>
      </c>
      <c r="M8" s="9"/>
      <c r="N8" s="9"/>
      <c r="O8" s="76">
        <v>1</v>
      </c>
      <c r="P8" s="10">
        <v>72</v>
      </c>
      <c r="Q8" s="9" t="s">
        <v>183</v>
      </c>
      <c r="R8" s="10">
        <v>37</v>
      </c>
      <c r="S8" s="9" t="s">
        <v>184</v>
      </c>
      <c r="T8" s="9"/>
      <c r="U8" s="9"/>
      <c r="V8" s="9"/>
      <c r="W8" s="9"/>
      <c r="X8" s="9"/>
      <c r="Y8" s="9"/>
      <c r="Z8" s="9"/>
      <c r="AA8" s="9">
        <v>0.5</v>
      </c>
      <c r="AB8" s="9" t="s">
        <v>185</v>
      </c>
    </row>
    <row r="9" spans="1:28" ht="14.25" customHeight="1">
      <c r="A9" s="10">
        <v>1</v>
      </c>
      <c r="B9" s="10">
        <v>8</v>
      </c>
      <c r="C9" s="9" t="s">
        <v>175</v>
      </c>
      <c r="D9" s="9"/>
      <c r="E9" s="11" t="s">
        <v>176</v>
      </c>
      <c r="F9" s="9" t="s">
        <v>177</v>
      </c>
      <c r="G9" s="9" t="s">
        <v>178</v>
      </c>
      <c r="H9" s="11" t="s">
        <v>179</v>
      </c>
      <c r="I9" s="9">
        <v>10000</v>
      </c>
      <c r="J9" s="9" t="s">
        <v>180</v>
      </c>
      <c r="K9" s="27" t="s">
        <v>181</v>
      </c>
      <c r="L9" s="9" t="s">
        <v>182</v>
      </c>
      <c r="M9" s="9"/>
      <c r="N9" s="9"/>
      <c r="O9" s="76">
        <v>0.1</v>
      </c>
      <c r="P9" s="10">
        <v>72</v>
      </c>
      <c r="Q9" s="9" t="s">
        <v>183</v>
      </c>
      <c r="R9" s="10">
        <v>37</v>
      </c>
      <c r="S9" s="9" t="s">
        <v>184</v>
      </c>
      <c r="T9" s="9"/>
      <c r="U9" s="9"/>
      <c r="V9" s="9"/>
      <c r="W9" s="9"/>
      <c r="X9" s="9"/>
      <c r="Y9" s="9"/>
      <c r="Z9" s="9"/>
      <c r="AA9" s="9">
        <v>0.5</v>
      </c>
      <c r="AB9" s="9" t="s">
        <v>185</v>
      </c>
    </row>
    <row r="10" spans="1:28" ht="14.25" customHeight="1">
      <c r="A10" s="10">
        <v>1</v>
      </c>
      <c r="B10" s="10">
        <v>9</v>
      </c>
      <c r="C10" s="9" t="s">
        <v>175</v>
      </c>
      <c r="D10" s="9"/>
      <c r="E10" s="11" t="s">
        <v>176</v>
      </c>
      <c r="F10" s="9" t="s">
        <v>177</v>
      </c>
      <c r="G10" s="9" t="s">
        <v>178</v>
      </c>
      <c r="H10" s="11" t="s">
        <v>179</v>
      </c>
      <c r="I10" s="9">
        <v>10000</v>
      </c>
      <c r="J10" s="9" t="s">
        <v>180</v>
      </c>
      <c r="K10" s="27" t="s">
        <v>181</v>
      </c>
      <c r="L10" s="9" t="s">
        <v>182</v>
      </c>
      <c r="M10" s="9"/>
      <c r="N10" s="9"/>
      <c r="O10" s="76">
        <v>0.01</v>
      </c>
      <c r="P10" s="10">
        <v>72</v>
      </c>
      <c r="Q10" s="9" t="s">
        <v>183</v>
      </c>
      <c r="R10" s="10">
        <v>37</v>
      </c>
      <c r="S10" s="9" t="s">
        <v>184</v>
      </c>
      <c r="T10" s="9"/>
      <c r="U10" s="9"/>
      <c r="V10" s="9"/>
      <c r="W10" s="9"/>
      <c r="X10" s="9"/>
      <c r="Y10" s="9"/>
      <c r="Z10" s="9"/>
      <c r="AA10" s="9">
        <v>0.5</v>
      </c>
      <c r="AB10" s="9" t="s">
        <v>185</v>
      </c>
    </row>
    <row r="11" spans="1:28" ht="14.25" customHeight="1">
      <c r="A11" s="10">
        <v>1</v>
      </c>
      <c r="B11" s="10">
        <v>10</v>
      </c>
      <c r="C11" s="9" t="s">
        <v>175</v>
      </c>
      <c r="D11" s="9"/>
      <c r="E11" s="11" t="s">
        <v>176</v>
      </c>
      <c r="F11" s="9" t="s">
        <v>177</v>
      </c>
      <c r="G11" s="9" t="s">
        <v>178</v>
      </c>
      <c r="H11" s="11" t="s">
        <v>179</v>
      </c>
      <c r="I11" s="9">
        <v>10000</v>
      </c>
      <c r="J11" s="9" t="s">
        <v>180</v>
      </c>
      <c r="K11" s="27" t="s">
        <v>181</v>
      </c>
      <c r="L11" s="9" t="s">
        <v>182</v>
      </c>
      <c r="M11" s="9"/>
      <c r="N11" s="9"/>
      <c r="O11" s="76">
        <v>1E-3</v>
      </c>
      <c r="P11" s="10">
        <v>72</v>
      </c>
      <c r="Q11" s="9" t="s">
        <v>183</v>
      </c>
      <c r="R11" s="10">
        <v>37</v>
      </c>
      <c r="S11" s="9" t="s">
        <v>184</v>
      </c>
      <c r="T11" s="9"/>
      <c r="U11" s="9"/>
      <c r="V11" s="9"/>
      <c r="W11" s="9"/>
      <c r="X11" s="9"/>
      <c r="Y11" s="9"/>
      <c r="Z11" s="9"/>
      <c r="AA11" s="9">
        <v>0.5</v>
      </c>
      <c r="AB11" s="9" t="s">
        <v>185</v>
      </c>
    </row>
    <row r="12" spans="1:28" ht="14.25" customHeight="1">
      <c r="A12" s="10">
        <v>1</v>
      </c>
      <c r="B12" s="10">
        <v>11</v>
      </c>
      <c r="C12" s="9" t="s">
        <v>175</v>
      </c>
      <c r="D12" s="9"/>
      <c r="E12" s="11" t="s">
        <v>176</v>
      </c>
      <c r="F12" s="9" t="s">
        <v>177</v>
      </c>
      <c r="G12" s="9" t="s">
        <v>178</v>
      </c>
      <c r="H12" s="11" t="s">
        <v>179</v>
      </c>
      <c r="I12" s="9">
        <v>10000</v>
      </c>
      <c r="J12" s="9" t="s">
        <v>180</v>
      </c>
      <c r="K12" s="27" t="s">
        <v>181</v>
      </c>
      <c r="L12" s="9" t="s">
        <v>182</v>
      </c>
      <c r="M12" s="9"/>
      <c r="N12" s="9"/>
      <c r="O12" s="76">
        <v>0</v>
      </c>
      <c r="P12" s="10">
        <v>72</v>
      </c>
      <c r="Q12" s="9" t="s">
        <v>183</v>
      </c>
      <c r="R12" s="10">
        <v>37</v>
      </c>
      <c r="S12" s="9" t="s">
        <v>184</v>
      </c>
      <c r="T12" s="9"/>
      <c r="U12" s="9"/>
      <c r="V12" s="9"/>
      <c r="W12" s="9"/>
      <c r="X12" s="9"/>
      <c r="Y12" s="9"/>
      <c r="Z12" s="9"/>
      <c r="AA12" s="9">
        <v>0.5</v>
      </c>
      <c r="AB12" s="9" t="s">
        <v>185</v>
      </c>
    </row>
    <row r="13" spans="1:28" ht="14.25" customHeight="1">
      <c r="A13" s="10">
        <v>1</v>
      </c>
      <c r="B13" s="10">
        <v>12</v>
      </c>
      <c r="C13" s="9" t="s">
        <v>175</v>
      </c>
      <c r="D13" s="9"/>
      <c r="E13" s="11" t="s">
        <v>176</v>
      </c>
      <c r="F13" s="9" t="s">
        <v>177</v>
      </c>
      <c r="G13" s="9" t="s">
        <v>178</v>
      </c>
      <c r="H13" s="11" t="s">
        <v>179</v>
      </c>
      <c r="I13" s="9">
        <v>10000</v>
      </c>
      <c r="J13" s="9" t="s">
        <v>180</v>
      </c>
      <c r="K13" s="27" t="s">
        <v>181</v>
      </c>
      <c r="L13" s="9" t="s">
        <v>182</v>
      </c>
      <c r="M13" s="9"/>
      <c r="N13" s="9"/>
      <c r="O13" s="76">
        <v>1</v>
      </c>
      <c r="P13" s="10">
        <v>72</v>
      </c>
      <c r="Q13" s="9" t="s">
        <v>183</v>
      </c>
      <c r="R13" s="10">
        <v>37</v>
      </c>
      <c r="S13" s="9" t="s">
        <v>184</v>
      </c>
      <c r="T13" s="9"/>
      <c r="U13" s="9"/>
      <c r="V13" s="9"/>
      <c r="W13" s="9"/>
      <c r="X13" s="9"/>
      <c r="Y13" s="9"/>
      <c r="Z13" s="9"/>
      <c r="AA13" s="9">
        <v>0.5</v>
      </c>
      <c r="AB13" s="9" t="s">
        <v>185</v>
      </c>
    </row>
    <row r="14" spans="1:28" ht="14.25" customHeight="1">
      <c r="A14" s="10">
        <v>1</v>
      </c>
      <c r="B14" s="10">
        <v>13</v>
      </c>
      <c r="C14" s="9" t="s">
        <v>175</v>
      </c>
      <c r="D14" s="9"/>
      <c r="E14" s="11" t="s">
        <v>176</v>
      </c>
      <c r="F14" s="9" t="s">
        <v>177</v>
      </c>
      <c r="G14" s="9" t="s">
        <v>178</v>
      </c>
      <c r="H14" s="11" t="s">
        <v>179</v>
      </c>
      <c r="I14" s="9">
        <v>10000</v>
      </c>
      <c r="J14" s="9" t="s">
        <v>180</v>
      </c>
      <c r="K14" s="27" t="s">
        <v>181</v>
      </c>
      <c r="L14" s="9" t="s">
        <v>182</v>
      </c>
      <c r="M14" s="9"/>
      <c r="N14" s="9"/>
      <c r="O14" s="76">
        <v>0.1</v>
      </c>
      <c r="P14" s="10">
        <v>72</v>
      </c>
      <c r="Q14" s="9" t="s">
        <v>183</v>
      </c>
      <c r="R14" s="10">
        <v>37</v>
      </c>
      <c r="S14" s="9" t="s">
        <v>184</v>
      </c>
      <c r="T14" s="9"/>
      <c r="U14" s="9"/>
      <c r="V14" s="9"/>
      <c r="W14" s="9"/>
      <c r="X14" s="9"/>
      <c r="Y14" s="9"/>
      <c r="Z14" s="9"/>
      <c r="AA14" s="9">
        <v>0.5</v>
      </c>
      <c r="AB14" s="9" t="s">
        <v>185</v>
      </c>
    </row>
    <row r="15" spans="1:28" ht="14.25" customHeight="1">
      <c r="A15" s="10">
        <v>1</v>
      </c>
      <c r="B15" s="10">
        <v>14</v>
      </c>
      <c r="C15" s="9" t="s">
        <v>175</v>
      </c>
      <c r="D15" s="9"/>
      <c r="E15" s="11" t="s">
        <v>176</v>
      </c>
      <c r="F15" s="9" t="s">
        <v>177</v>
      </c>
      <c r="G15" s="9" t="s">
        <v>178</v>
      </c>
      <c r="H15" s="11" t="s">
        <v>179</v>
      </c>
      <c r="I15" s="9">
        <v>10000</v>
      </c>
      <c r="J15" s="9" t="s">
        <v>180</v>
      </c>
      <c r="K15" s="27" t="s">
        <v>181</v>
      </c>
      <c r="L15" s="9" t="s">
        <v>182</v>
      </c>
      <c r="M15" s="9"/>
      <c r="N15" s="9"/>
      <c r="O15" s="76">
        <v>0.01</v>
      </c>
      <c r="P15" s="10">
        <v>72</v>
      </c>
      <c r="Q15" s="9" t="s">
        <v>183</v>
      </c>
      <c r="R15" s="10">
        <v>37</v>
      </c>
      <c r="S15" s="9" t="s">
        <v>184</v>
      </c>
      <c r="T15" s="9"/>
      <c r="U15" s="9"/>
      <c r="V15" s="9"/>
      <c r="W15" s="9"/>
      <c r="X15" s="9"/>
      <c r="Y15" s="9"/>
      <c r="Z15" s="9"/>
      <c r="AA15" s="9">
        <v>0.5</v>
      </c>
      <c r="AB15" s="9" t="s">
        <v>185</v>
      </c>
    </row>
    <row r="16" spans="1:28" ht="14.25" customHeight="1">
      <c r="A16" s="10">
        <v>1</v>
      </c>
      <c r="B16" s="10">
        <v>15</v>
      </c>
      <c r="C16" s="9" t="s">
        <v>175</v>
      </c>
      <c r="D16" s="9"/>
      <c r="E16" s="11" t="s">
        <v>176</v>
      </c>
      <c r="F16" s="9" t="s">
        <v>177</v>
      </c>
      <c r="G16" s="9" t="s">
        <v>178</v>
      </c>
      <c r="H16" s="11" t="s">
        <v>179</v>
      </c>
      <c r="I16" s="9">
        <v>10000</v>
      </c>
      <c r="J16" s="9" t="s">
        <v>180</v>
      </c>
      <c r="K16" s="27" t="s">
        <v>181</v>
      </c>
      <c r="L16" s="9" t="s">
        <v>182</v>
      </c>
      <c r="M16" s="9"/>
      <c r="N16" s="9"/>
      <c r="O16" s="76">
        <v>1E-3</v>
      </c>
      <c r="P16" s="10">
        <v>72</v>
      </c>
      <c r="Q16" s="9" t="s">
        <v>183</v>
      </c>
      <c r="R16" s="10">
        <v>37</v>
      </c>
      <c r="S16" s="9" t="s">
        <v>184</v>
      </c>
      <c r="T16" s="9"/>
      <c r="U16" s="9"/>
      <c r="V16" s="9"/>
      <c r="W16" s="9"/>
      <c r="X16" s="9"/>
      <c r="Y16" s="9"/>
      <c r="Z16" s="9"/>
      <c r="AA16" s="9">
        <v>0.5</v>
      </c>
      <c r="AB16" s="9" t="s">
        <v>185</v>
      </c>
    </row>
    <row r="17" spans="1:28" ht="14.25" customHeight="1">
      <c r="A17" s="10">
        <v>1</v>
      </c>
      <c r="B17" s="10">
        <v>16</v>
      </c>
      <c r="C17" s="9" t="s">
        <v>175</v>
      </c>
      <c r="D17" s="9"/>
      <c r="E17" s="11" t="s">
        <v>176</v>
      </c>
      <c r="F17" s="9" t="s">
        <v>177</v>
      </c>
      <c r="G17" s="9" t="s">
        <v>178</v>
      </c>
      <c r="H17" s="11" t="s">
        <v>179</v>
      </c>
      <c r="I17" s="9">
        <v>10000</v>
      </c>
      <c r="J17" s="9" t="s">
        <v>180</v>
      </c>
      <c r="K17" s="27" t="s">
        <v>181</v>
      </c>
      <c r="L17" s="9" t="s">
        <v>182</v>
      </c>
      <c r="M17" s="9"/>
      <c r="N17" s="9"/>
      <c r="O17" s="76">
        <v>0</v>
      </c>
      <c r="P17" s="10">
        <v>72</v>
      </c>
      <c r="Q17" s="9" t="s">
        <v>183</v>
      </c>
      <c r="R17" s="10">
        <v>37</v>
      </c>
      <c r="S17" s="9" t="s">
        <v>184</v>
      </c>
      <c r="T17" s="9"/>
      <c r="U17" s="9"/>
      <c r="V17" s="9"/>
      <c r="W17" s="9"/>
      <c r="X17" s="9"/>
      <c r="Y17" s="9"/>
      <c r="Z17" s="9"/>
      <c r="AA17" s="9">
        <v>0.5</v>
      </c>
      <c r="AB17" s="9" t="s">
        <v>185</v>
      </c>
    </row>
    <row r="18" spans="1:28" ht="14.25" customHeight="1">
      <c r="A18" s="10">
        <v>1</v>
      </c>
      <c r="B18" s="10">
        <v>17</v>
      </c>
      <c r="C18" s="9" t="s">
        <v>175</v>
      </c>
      <c r="D18" s="9"/>
      <c r="E18" s="11" t="s">
        <v>176</v>
      </c>
      <c r="F18" s="9" t="s">
        <v>177</v>
      </c>
      <c r="G18" s="9" t="s">
        <v>178</v>
      </c>
      <c r="H18" s="11" t="s">
        <v>179</v>
      </c>
      <c r="I18" s="9">
        <v>10000</v>
      </c>
      <c r="J18" s="9" t="s">
        <v>180</v>
      </c>
      <c r="K18" s="27" t="s">
        <v>181</v>
      </c>
      <c r="L18" s="9" t="s">
        <v>182</v>
      </c>
      <c r="M18" s="9"/>
      <c r="N18" s="9"/>
      <c r="O18" s="76">
        <v>1</v>
      </c>
      <c r="P18" s="10">
        <v>72</v>
      </c>
      <c r="Q18" s="9" t="s">
        <v>183</v>
      </c>
      <c r="R18" s="10">
        <v>37</v>
      </c>
      <c r="S18" s="9" t="s">
        <v>184</v>
      </c>
      <c r="T18" s="9"/>
      <c r="U18" s="9"/>
      <c r="V18" s="9"/>
      <c r="W18" s="9"/>
      <c r="X18" s="9"/>
      <c r="Y18" s="9"/>
      <c r="Z18" s="9"/>
      <c r="AA18" s="9">
        <v>0.5</v>
      </c>
      <c r="AB18" s="9" t="s">
        <v>185</v>
      </c>
    </row>
    <row r="19" spans="1:28" ht="14.25" customHeight="1">
      <c r="A19" s="10">
        <v>1</v>
      </c>
      <c r="B19" s="10">
        <v>18</v>
      </c>
      <c r="C19" s="9" t="s">
        <v>175</v>
      </c>
      <c r="D19" s="9"/>
      <c r="E19" s="11" t="s">
        <v>176</v>
      </c>
      <c r="F19" s="9" t="s">
        <v>177</v>
      </c>
      <c r="G19" s="9" t="s">
        <v>178</v>
      </c>
      <c r="H19" s="11" t="s">
        <v>179</v>
      </c>
      <c r="I19" s="9">
        <v>10000</v>
      </c>
      <c r="J19" s="9" t="s">
        <v>180</v>
      </c>
      <c r="K19" s="27" t="s">
        <v>181</v>
      </c>
      <c r="L19" s="9" t="s">
        <v>182</v>
      </c>
      <c r="M19" s="9"/>
      <c r="N19" s="9"/>
      <c r="O19" s="76">
        <v>0.1</v>
      </c>
      <c r="P19" s="10">
        <v>72</v>
      </c>
      <c r="Q19" s="9" t="s">
        <v>183</v>
      </c>
      <c r="R19" s="10">
        <v>37</v>
      </c>
      <c r="S19" s="9" t="s">
        <v>184</v>
      </c>
      <c r="T19" s="9"/>
      <c r="U19" s="9"/>
      <c r="V19" s="9"/>
      <c r="W19" s="9"/>
      <c r="X19" s="9"/>
      <c r="Y19" s="9"/>
      <c r="Z19" s="9"/>
      <c r="AA19" s="9">
        <v>0.5</v>
      </c>
      <c r="AB19" s="9" t="s">
        <v>185</v>
      </c>
    </row>
    <row r="20" spans="1:28" ht="14.25" customHeight="1">
      <c r="A20" s="10">
        <v>1</v>
      </c>
      <c r="B20" s="10">
        <v>19</v>
      </c>
      <c r="C20" s="9" t="s">
        <v>175</v>
      </c>
      <c r="D20" s="9"/>
      <c r="E20" s="11" t="s">
        <v>176</v>
      </c>
      <c r="F20" s="9" t="s">
        <v>177</v>
      </c>
      <c r="G20" s="9" t="s">
        <v>178</v>
      </c>
      <c r="H20" s="11" t="s">
        <v>179</v>
      </c>
      <c r="I20" s="9">
        <v>10000</v>
      </c>
      <c r="J20" s="9" t="s">
        <v>180</v>
      </c>
      <c r="K20" s="27" t="s">
        <v>181</v>
      </c>
      <c r="L20" s="9" t="s">
        <v>182</v>
      </c>
      <c r="M20" s="9"/>
      <c r="N20" s="9"/>
      <c r="O20" s="76">
        <v>0.01</v>
      </c>
      <c r="P20" s="10">
        <v>72</v>
      </c>
      <c r="Q20" s="9" t="s">
        <v>183</v>
      </c>
      <c r="R20" s="10">
        <v>37</v>
      </c>
      <c r="S20" s="9" t="s">
        <v>184</v>
      </c>
      <c r="T20" s="9"/>
      <c r="U20" s="9"/>
      <c r="V20" s="9"/>
      <c r="W20" s="9"/>
      <c r="X20" s="9"/>
      <c r="Y20" s="9"/>
      <c r="Z20" s="9"/>
      <c r="AA20" s="9">
        <v>0.5</v>
      </c>
      <c r="AB20" s="9" t="s">
        <v>185</v>
      </c>
    </row>
    <row r="21" spans="1:28" ht="14.25" customHeight="1">
      <c r="A21" s="10">
        <v>1</v>
      </c>
      <c r="B21" s="10">
        <v>20</v>
      </c>
      <c r="C21" s="9" t="s">
        <v>175</v>
      </c>
      <c r="D21" s="9"/>
      <c r="E21" s="11" t="s">
        <v>176</v>
      </c>
      <c r="F21" s="9" t="s">
        <v>177</v>
      </c>
      <c r="G21" s="9" t="s">
        <v>178</v>
      </c>
      <c r="H21" s="11" t="s">
        <v>179</v>
      </c>
      <c r="I21" s="9">
        <v>10000</v>
      </c>
      <c r="J21" s="9" t="s">
        <v>180</v>
      </c>
      <c r="K21" s="27" t="s">
        <v>181</v>
      </c>
      <c r="L21" s="9" t="s">
        <v>182</v>
      </c>
      <c r="M21" s="9"/>
      <c r="N21" s="9"/>
      <c r="O21" s="76">
        <v>1E-3</v>
      </c>
      <c r="P21" s="10">
        <v>72</v>
      </c>
      <c r="Q21" s="9" t="s">
        <v>183</v>
      </c>
      <c r="R21" s="10">
        <v>37</v>
      </c>
      <c r="S21" s="9" t="s">
        <v>184</v>
      </c>
      <c r="T21" s="9"/>
      <c r="U21" s="9"/>
      <c r="V21" s="9"/>
      <c r="W21" s="9"/>
      <c r="X21" s="9"/>
      <c r="Y21" s="9"/>
      <c r="Z21" s="9"/>
      <c r="AA21" s="9">
        <v>0.5</v>
      </c>
      <c r="AB21" s="9" t="s">
        <v>185</v>
      </c>
    </row>
    <row r="22" spans="1:28" ht="14.25" customHeight="1">
      <c r="A22" s="12">
        <v>2</v>
      </c>
      <c r="B22" s="12">
        <v>1</v>
      </c>
      <c r="C22" s="13"/>
      <c r="D22" s="13"/>
      <c r="E22" s="13" t="s">
        <v>186</v>
      </c>
      <c r="F22" s="13" t="s">
        <v>187</v>
      </c>
      <c r="G22" s="13" t="s">
        <v>178</v>
      </c>
      <c r="H22" s="13" t="s">
        <v>179</v>
      </c>
      <c r="I22" s="13">
        <v>10000</v>
      </c>
      <c r="J22" s="13" t="s">
        <v>180</v>
      </c>
      <c r="K22" s="83" t="s">
        <v>188</v>
      </c>
      <c r="L22" s="13"/>
      <c r="M22" s="13"/>
      <c r="N22" s="13"/>
      <c r="O22" s="77"/>
      <c r="P22" s="12">
        <v>24</v>
      </c>
      <c r="Q22" s="13" t="s">
        <v>183</v>
      </c>
      <c r="R22" s="12">
        <v>37</v>
      </c>
      <c r="S22" s="13" t="s">
        <v>184</v>
      </c>
      <c r="T22" s="13">
        <v>5</v>
      </c>
      <c r="U22" s="13" t="s">
        <v>189</v>
      </c>
      <c r="V22" s="13"/>
      <c r="W22" s="13"/>
      <c r="X22" s="13">
        <v>37</v>
      </c>
      <c r="Y22" s="13" t="s">
        <v>184</v>
      </c>
      <c r="Z22" s="13"/>
      <c r="AA22" s="13"/>
      <c r="AB22" s="13"/>
    </row>
    <row r="23" spans="1:28" ht="14.25" customHeight="1">
      <c r="A23" s="10">
        <v>2</v>
      </c>
      <c r="B23" s="10">
        <v>2</v>
      </c>
      <c r="C23" s="9"/>
      <c r="D23" s="9"/>
      <c r="E23" s="9" t="s">
        <v>186</v>
      </c>
      <c r="F23" s="9" t="s">
        <v>187</v>
      </c>
      <c r="G23" s="9" t="s">
        <v>178</v>
      </c>
      <c r="H23" s="9" t="s">
        <v>179</v>
      </c>
      <c r="I23" s="9">
        <v>10000</v>
      </c>
      <c r="J23" s="9" t="s">
        <v>180</v>
      </c>
      <c r="K23" s="82" t="s">
        <v>188</v>
      </c>
      <c r="L23" s="9"/>
      <c r="M23" s="9"/>
      <c r="N23" s="9"/>
      <c r="O23" s="76"/>
      <c r="P23" s="10">
        <v>48</v>
      </c>
      <c r="Q23" s="9" t="s">
        <v>183</v>
      </c>
      <c r="R23" s="10">
        <v>37</v>
      </c>
      <c r="S23" s="9" t="s">
        <v>184</v>
      </c>
      <c r="T23" s="9">
        <v>5</v>
      </c>
      <c r="U23" s="9" t="s">
        <v>189</v>
      </c>
      <c r="V23" s="9"/>
      <c r="W23" s="9"/>
      <c r="X23" s="9">
        <v>37</v>
      </c>
      <c r="Y23" s="9" t="s">
        <v>184</v>
      </c>
      <c r="Z23" s="9"/>
      <c r="AA23" s="9"/>
      <c r="AB23" s="9"/>
    </row>
    <row r="24" spans="1:28" ht="14.25" customHeight="1">
      <c r="A24" s="10">
        <v>2</v>
      </c>
      <c r="B24" s="10">
        <v>3</v>
      </c>
      <c r="C24" s="9"/>
      <c r="D24" s="9"/>
      <c r="E24" s="9" t="s">
        <v>190</v>
      </c>
      <c r="F24" s="9" t="s">
        <v>187</v>
      </c>
      <c r="G24" s="9" t="s">
        <v>178</v>
      </c>
      <c r="H24" s="9" t="s">
        <v>179</v>
      </c>
      <c r="I24" s="9">
        <v>10000</v>
      </c>
      <c r="J24" s="9" t="s">
        <v>180</v>
      </c>
      <c r="K24" s="82" t="s">
        <v>188</v>
      </c>
      <c r="L24" s="9"/>
      <c r="M24" s="9"/>
      <c r="N24" s="9"/>
      <c r="O24" s="76"/>
      <c r="P24" s="10">
        <v>24</v>
      </c>
      <c r="Q24" s="9" t="s">
        <v>183</v>
      </c>
      <c r="R24" s="10">
        <v>37</v>
      </c>
      <c r="S24" s="9" t="s">
        <v>184</v>
      </c>
      <c r="T24" s="9">
        <v>5</v>
      </c>
      <c r="U24" s="9" t="s">
        <v>189</v>
      </c>
      <c r="V24" s="9"/>
      <c r="W24" s="9"/>
      <c r="X24" s="9">
        <v>37</v>
      </c>
      <c r="Y24" s="9" t="s">
        <v>184</v>
      </c>
      <c r="Z24" s="9"/>
      <c r="AA24" s="9"/>
      <c r="AB24" s="9"/>
    </row>
    <row r="25" spans="1:28" ht="14.25" customHeight="1">
      <c r="A25" s="10">
        <v>2</v>
      </c>
      <c r="B25" s="10">
        <v>4</v>
      </c>
      <c r="C25" s="9"/>
      <c r="D25" s="9"/>
      <c r="E25" s="9" t="s">
        <v>190</v>
      </c>
      <c r="F25" s="9" t="s">
        <v>187</v>
      </c>
      <c r="G25" s="9" t="s">
        <v>178</v>
      </c>
      <c r="H25" s="9" t="s">
        <v>179</v>
      </c>
      <c r="I25" s="9">
        <v>10000</v>
      </c>
      <c r="J25" s="9" t="s">
        <v>180</v>
      </c>
      <c r="K25" s="82" t="s">
        <v>188</v>
      </c>
      <c r="L25" s="9"/>
      <c r="M25" s="9"/>
      <c r="N25" s="9"/>
      <c r="O25" s="76"/>
      <c r="P25" s="10">
        <v>48</v>
      </c>
      <c r="Q25" s="9" t="s">
        <v>183</v>
      </c>
      <c r="R25" s="10">
        <v>37</v>
      </c>
      <c r="S25" s="9" t="s">
        <v>184</v>
      </c>
      <c r="T25" s="9">
        <v>5</v>
      </c>
      <c r="U25" s="9" t="s">
        <v>189</v>
      </c>
      <c r="V25" s="9"/>
      <c r="W25" s="9"/>
      <c r="X25" s="9">
        <v>37</v>
      </c>
      <c r="Y25" s="9" t="s">
        <v>184</v>
      </c>
      <c r="Z25" s="9"/>
      <c r="AA25" s="9"/>
      <c r="AB25" s="9"/>
    </row>
    <row r="26" spans="1:28" ht="14.25" customHeight="1">
      <c r="A26" s="10">
        <v>2</v>
      </c>
      <c r="B26" s="10">
        <v>5</v>
      </c>
      <c r="C26" s="9"/>
      <c r="D26" s="9"/>
      <c r="E26" s="9" t="s">
        <v>186</v>
      </c>
      <c r="F26" s="9" t="s">
        <v>187</v>
      </c>
      <c r="G26" s="9" t="s">
        <v>178</v>
      </c>
      <c r="H26" s="9" t="s">
        <v>179</v>
      </c>
      <c r="I26" s="9">
        <v>10000</v>
      </c>
      <c r="J26" s="9" t="s">
        <v>180</v>
      </c>
      <c r="K26" s="82" t="s">
        <v>188</v>
      </c>
      <c r="L26" s="9"/>
      <c r="M26" s="9"/>
      <c r="N26" s="9"/>
      <c r="O26" s="76"/>
      <c r="P26" s="10">
        <v>24</v>
      </c>
      <c r="Q26" s="9" t="s">
        <v>183</v>
      </c>
      <c r="R26" s="10">
        <v>37</v>
      </c>
      <c r="S26" s="9" t="s">
        <v>184</v>
      </c>
      <c r="T26" s="9">
        <v>5</v>
      </c>
      <c r="U26" s="9" t="s">
        <v>189</v>
      </c>
      <c r="V26" s="9"/>
      <c r="W26" s="9"/>
      <c r="X26" s="9">
        <v>37</v>
      </c>
      <c r="Y26" s="9" t="s">
        <v>184</v>
      </c>
      <c r="Z26" s="9"/>
      <c r="AA26" s="9"/>
      <c r="AB26" s="9"/>
    </row>
    <row r="27" spans="1:28" ht="14.25" customHeight="1">
      <c r="A27" s="10">
        <v>2</v>
      </c>
      <c r="B27" s="10">
        <v>6</v>
      </c>
      <c r="C27" s="9"/>
      <c r="D27" s="9"/>
      <c r="E27" s="9" t="s">
        <v>186</v>
      </c>
      <c r="F27" s="9" t="s">
        <v>187</v>
      </c>
      <c r="G27" s="9" t="s">
        <v>178</v>
      </c>
      <c r="H27" s="9" t="s">
        <v>179</v>
      </c>
      <c r="I27" s="9">
        <v>10000</v>
      </c>
      <c r="J27" s="9" t="s">
        <v>180</v>
      </c>
      <c r="K27" s="82" t="s">
        <v>188</v>
      </c>
      <c r="L27" s="9"/>
      <c r="M27" s="9"/>
      <c r="N27" s="9"/>
      <c r="O27" s="76"/>
      <c r="P27" s="10">
        <v>48</v>
      </c>
      <c r="Q27" s="9" t="s">
        <v>183</v>
      </c>
      <c r="R27" s="10">
        <v>37</v>
      </c>
      <c r="S27" s="9" t="s">
        <v>184</v>
      </c>
      <c r="T27" s="9">
        <v>5</v>
      </c>
      <c r="U27" s="9" t="s">
        <v>189</v>
      </c>
      <c r="V27" s="9"/>
      <c r="W27" s="9"/>
      <c r="X27" s="9">
        <v>37</v>
      </c>
      <c r="Y27" s="9" t="s">
        <v>184</v>
      </c>
      <c r="Z27" s="9"/>
      <c r="AA27" s="9"/>
      <c r="AB27" s="9"/>
    </row>
    <row r="28" spans="1:28" ht="14.25" customHeight="1">
      <c r="A28" s="10">
        <v>2</v>
      </c>
      <c r="B28" s="10">
        <v>7</v>
      </c>
      <c r="C28" s="9"/>
      <c r="D28" s="9"/>
      <c r="E28" s="9" t="s">
        <v>190</v>
      </c>
      <c r="F28" s="9" t="s">
        <v>187</v>
      </c>
      <c r="G28" s="9" t="s">
        <v>178</v>
      </c>
      <c r="H28" s="9" t="s">
        <v>179</v>
      </c>
      <c r="I28" s="9">
        <v>10000</v>
      </c>
      <c r="J28" s="9" t="s">
        <v>180</v>
      </c>
      <c r="K28" s="82" t="s">
        <v>188</v>
      </c>
      <c r="L28" s="9"/>
      <c r="M28" s="9"/>
      <c r="N28" s="9"/>
      <c r="O28" s="76"/>
      <c r="P28" s="10">
        <v>24</v>
      </c>
      <c r="Q28" s="9" t="s">
        <v>183</v>
      </c>
      <c r="R28" s="10">
        <v>37</v>
      </c>
      <c r="S28" s="9" t="s">
        <v>184</v>
      </c>
      <c r="T28" s="9">
        <v>5</v>
      </c>
      <c r="U28" s="9" t="s">
        <v>189</v>
      </c>
      <c r="V28" s="9"/>
      <c r="W28" s="9"/>
      <c r="X28" s="9">
        <v>37</v>
      </c>
      <c r="Y28" s="9" t="s">
        <v>184</v>
      </c>
      <c r="Z28" s="9"/>
      <c r="AA28" s="9"/>
      <c r="AB28" s="9"/>
    </row>
    <row r="29" spans="1:28" ht="14.25" customHeight="1">
      <c r="A29" s="10">
        <v>2</v>
      </c>
      <c r="B29" s="19">
        <v>8</v>
      </c>
      <c r="C29" s="9"/>
      <c r="D29" s="9"/>
      <c r="E29" s="9" t="s">
        <v>190</v>
      </c>
      <c r="F29" s="9" t="s">
        <v>187</v>
      </c>
      <c r="G29" s="9" t="s">
        <v>178</v>
      </c>
      <c r="H29" s="9" t="s">
        <v>179</v>
      </c>
      <c r="I29" s="9">
        <v>10000</v>
      </c>
      <c r="J29" s="9" t="s">
        <v>180</v>
      </c>
      <c r="K29" s="82" t="s">
        <v>188</v>
      </c>
      <c r="L29" s="9"/>
      <c r="M29" s="9"/>
      <c r="N29" s="9"/>
      <c r="O29" s="76"/>
      <c r="P29" s="10">
        <v>48</v>
      </c>
      <c r="Q29" s="9" t="s">
        <v>183</v>
      </c>
      <c r="R29" s="10">
        <v>37</v>
      </c>
      <c r="S29" s="9" t="s">
        <v>184</v>
      </c>
      <c r="T29" s="9">
        <v>5</v>
      </c>
      <c r="U29" s="9" t="s">
        <v>189</v>
      </c>
      <c r="V29" s="9"/>
      <c r="W29" s="9"/>
      <c r="X29" s="9">
        <v>37</v>
      </c>
      <c r="Y29" s="9" t="s">
        <v>184</v>
      </c>
      <c r="Z29" s="9"/>
      <c r="AA29" s="9"/>
      <c r="AB29" s="9"/>
    </row>
    <row r="30" spans="1:28" s="18" customFormat="1" ht="14.25" customHeight="1">
      <c r="A30" s="12">
        <v>3</v>
      </c>
      <c r="B30" s="12">
        <v>1</v>
      </c>
      <c r="C30" s="13" t="s">
        <v>191</v>
      </c>
      <c r="D30" s="13"/>
      <c r="E30" s="13" t="s">
        <v>192</v>
      </c>
      <c r="F30" s="13" t="s">
        <v>193</v>
      </c>
      <c r="G30" s="13" t="s">
        <v>194</v>
      </c>
      <c r="H30" s="13" t="s">
        <v>179</v>
      </c>
      <c r="I30" s="13"/>
      <c r="J30" s="13"/>
      <c r="K30" s="83" t="s">
        <v>195</v>
      </c>
      <c r="L30" s="13" t="s">
        <v>195</v>
      </c>
      <c r="M30" s="13">
        <v>0.25</v>
      </c>
      <c r="N30" s="13" t="s">
        <v>196</v>
      </c>
      <c r="O30" s="77"/>
      <c r="P30" s="18">
        <v>48</v>
      </c>
      <c r="Q30" s="18" t="s">
        <v>183</v>
      </c>
      <c r="T30" s="13"/>
      <c r="U30" s="13"/>
      <c r="V30" s="12">
        <v>24</v>
      </c>
      <c r="W30" s="13" t="s">
        <v>183</v>
      </c>
      <c r="X30" s="12">
        <v>37</v>
      </c>
      <c r="Y30" s="13" t="s">
        <v>184</v>
      </c>
      <c r="Z30" s="13" t="s">
        <v>197</v>
      </c>
      <c r="AA30" s="13">
        <v>1.25</v>
      </c>
      <c r="AB30" s="13" t="s">
        <v>185</v>
      </c>
    </row>
    <row r="31" spans="1:28" ht="14.25" customHeight="1">
      <c r="A31" s="10">
        <v>3</v>
      </c>
      <c r="B31" s="10">
        <v>2</v>
      </c>
      <c r="C31" s="9" t="s">
        <v>191</v>
      </c>
      <c r="D31" s="9"/>
      <c r="E31" s="9" t="s">
        <v>192</v>
      </c>
      <c r="F31" s="9" t="s">
        <v>193</v>
      </c>
      <c r="G31" s="9" t="s">
        <v>194</v>
      </c>
      <c r="H31" s="9" t="s">
        <v>179</v>
      </c>
      <c r="I31" s="9"/>
      <c r="J31" s="9"/>
      <c r="K31" s="82" t="s">
        <v>195</v>
      </c>
      <c r="L31" s="9" t="s">
        <v>195</v>
      </c>
      <c r="M31" s="9">
        <v>0.5</v>
      </c>
      <c r="N31" s="9" t="s">
        <v>196</v>
      </c>
      <c r="O31" s="76"/>
      <c r="P31" s="19">
        <v>48</v>
      </c>
      <c r="Q31" s="19" t="s">
        <v>183</v>
      </c>
      <c r="T31" s="9"/>
      <c r="U31" s="9"/>
      <c r="V31" s="10">
        <v>24</v>
      </c>
      <c r="W31" s="9" t="s">
        <v>183</v>
      </c>
      <c r="X31" s="10">
        <v>37</v>
      </c>
      <c r="Y31" s="9" t="s">
        <v>184</v>
      </c>
      <c r="Z31" s="9" t="s">
        <v>197</v>
      </c>
      <c r="AA31" s="9">
        <v>1.25</v>
      </c>
      <c r="AB31" s="9" t="s">
        <v>185</v>
      </c>
    </row>
    <row r="32" spans="1:28" ht="14.25" customHeight="1">
      <c r="A32" s="10">
        <v>3</v>
      </c>
      <c r="B32" s="10">
        <v>3</v>
      </c>
      <c r="C32" s="9" t="s">
        <v>191</v>
      </c>
      <c r="D32" s="9"/>
      <c r="E32" s="9" t="s">
        <v>192</v>
      </c>
      <c r="F32" s="9" t="s">
        <v>193</v>
      </c>
      <c r="G32" s="9" t="s">
        <v>194</v>
      </c>
      <c r="H32" s="9" t="s">
        <v>179</v>
      </c>
      <c r="I32" s="9"/>
      <c r="J32" s="9"/>
      <c r="K32" s="82" t="s">
        <v>195</v>
      </c>
      <c r="L32" s="9" t="s">
        <v>195</v>
      </c>
      <c r="M32" s="9">
        <v>0.75</v>
      </c>
      <c r="N32" s="9" t="s">
        <v>196</v>
      </c>
      <c r="O32" s="76"/>
      <c r="P32" s="19">
        <v>48</v>
      </c>
      <c r="Q32" s="19" t="s">
        <v>183</v>
      </c>
      <c r="T32" s="9"/>
      <c r="U32" s="9"/>
      <c r="V32" s="10">
        <v>24</v>
      </c>
      <c r="W32" s="9" t="s">
        <v>183</v>
      </c>
      <c r="X32" s="10">
        <v>37</v>
      </c>
      <c r="Y32" s="9" t="s">
        <v>184</v>
      </c>
      <c r="Z32" s="9" t="s">
        <v>197</v>
      </c>
      <c r="AA32" s="9">
        <v>1.25</v>
      </c>
      <c r="AB32" s="9" t="s">
        <v>185</v>
      </c>
    </row>
    <row r="33" spans="1:28" ht="14.25" customHeight="1">
      <c r="A33" s="10">
        <v>3</v>
      </c>
      <c r="B33" s="10">
        <v>4</v>
      </c>
      <c r="C33" s="9" t="s">
        <v>191</v>
      </c>
      <c r="D33" s="9"/>
      <c r="E33" s="9" t="s">
        <v>192</v>
      </c>
      <c r="F33" s="9" t="s">
        <v>193</v>
      </c>
      <c r="G33" s="9" t="s">
        <v>194</v>
      </c>
      <c r="H33" s="9" t="s">
        <v>179</v>
      </c>
      <c r="I33" s="9"/>
      <c r="J33" s="9"/>
      <c r="K33" s="82" t="s">
        <v>195</v>
      </c>
      <c r="L33" s="9" t="s">
        <v>195</v>
      </c>
      <c r="M33" s="9">
        <v>1</v>
      </c>
      <c r="N33" s="9" t="s">
        <v>196</v>
      </c>
      <c r="O33" s="76"/>
      <c r="P33" s="19">
        <v>48</v>
      </c>
      <c r="Q33" s="19" t="s">
        <v>183</v>
      </c>
      <c r="T33" s="9"/>
      <c r="U33" s="9"/>
      <c r="V33" s="10">
        <v>24</v>
      </c>
      <c r="W33" s="9" t="s">
        <v>183</v>
      </c>
      <c r="X33" s="10">
        <v>37</v>
      </c>
      <c r="Y33" s="9" t="s">
        <v>184</v>
      </c>
      <c r="Z33" s="9" t="s">
        <v>197</v>
      </c>
      <c r="AA33" s="9">
        <v>1.25</v>
      </c>
      <c r="AB33" s="9" t="s">
        <v>185</v>
      </c>
    </row>
    <row r="34" spans="1:28" ht="14.25" customHeight="1">
      <c r="A34" s="10">
        <v>3</v>
      </c>
      <c r="B34" s="10">
        <v>5</v>
      </c>
      <c r="C34" s="9" t="s">
        <v>191</v>
      </c>
      <c r="D34" s="9"/>
      <c r="E34" s="9" t="s">
        <v>192</v>
      </c>
      <c r="F34" s="9" t="s">
        <v>193</v>
      </c>
      <c r="G34" s="9" t="s">
        <v>194</v>
      </c>
      <c r="H34" s="9" t="s">
        <v>179</v>
      </c>
      <c r="I34" s="9"/>
      <c r="J34" s="9"/>
      <c r="K34" s="82" t="s">
        <v>195</v>
      </c>
      <c r="L34" s="9" t="s">
        <v>195</v>
      </c>
      <c r="M34" s="9">
        <v>1.25</v>
      </c>
      <c r="N34" s="9" t="s">
        <v>196</v>
      </c>
      <c r="O34" s="76"/>
      <c r="P34" s="19">
        <v>48</v>
      </c>
      <c r="Q34" s="19" t="s">
        <v>183</v>
      </c>
      <c r="T34" s="9"/>
      <c r="U34" s="9"/>
      <c r="V34" s="10">
        <v>24</v>
      </c>
      <c r="W34" s="9" t="s">
        <v>183</v>
      </c>
      <c r="X34" s="10">
        <v>37</v>
      </c>
      <c r="Y34" s="9" t="s">
        <v>184</v>
      </c>
      <c r="Z34" s="9" t="s">
        <v>197</v>
      </c>
      <c r="AA34" s="9">
        <v>1.25</v>
      </c>
      <c r="AB34" s="9" t="s">
        <v>185</v>
      </c>
    </row>
    <row r="35" spans="1:28" ht="14.25" customHeight="1">
      <c r="A35" s="10">
        <v>3</v>
      </c>
      <c r="B35" s="10">
        <v>6</v>
      </c>
      <c r="C35" s="9" t="s">
        <v>191</v>
      </c>
      <c r="D35" s="9"/>
      <c r="E35" s="9" t="s">
        <v>192</v>
      </c>
      <c r="F35" s="9" t="s">
        <v>193</v>
      </c>
      <c r="G35" s="9" t="s">
        <v>194</v>
      </c>
      <c r="H35" s="9" t="s">
        <v>179</v>
      </c>
      <c r="I35" s="9"/>
      <c r="J35" s="9"/>
      <c r="K35" s="82" t="s">
        <v>195</v>
      </c>
      <c r="L35" s="9" t="s">
        <v>195</v>
      </c>
      <c r="M35" s="9">
        <v>0.25</v>
      </c>
      <c r="N35" s="9" t="s">
        <v>196</v>
      </c>
      <c r="O35" s="76"/>
      <c r="P35" s="19">
        <v>48</v>
      </c>
      <c r="Q35" s="19" t="s">
        <v>183</v>
      </c>
      <c r="T35" s="9"/>
      <c r="U35" s="9"/>
      <c r="V35" s="10">
        <v>24</v>
      </c>
      <c r="W35" s="9" t="s">
        <v>183</v>
      </c>
      <c r="X35" s="10">
        <v>37</v>
      </c>
      <c r="Y35" s="9" t="s">
        <v>184</v>
      </c>
      <c r="Z35" s="9" t="s">
        <v>197</v>
      </c>
      <c r="AA35" s="9">
        <v>1.25</v>
      </c>
      <c r="AB35" s="9" t="s">
        <v>185</v>
      </c>
    </row>
    <row r="36" spans="1:28" ht="14.25" customHeight="1">
      <c r="A36" s="10">
        <v>3</v>
      </c>
      <c r="B36" s="10">
        <v>7</v>
      </c>
      <c r="C36" s="9" t="s">
        <v>191</v>
      </c>
      <c r="D36" s="9"/>
      <c r="E36" s="9" t="s">
        <v>192</v>
      </c>
      <c r="F36" s="9" t="s">
        <v>193</v>
      </c>
      <c r="G36" s="9" t="s">
        <v>194</v>
      </c>
      <c r="H36" s="9" t="s">
        <v>179</v>
      </c>
      <c r="I36" s="9"/>
      <c r="J36" s="9"/>
      <c r="K36" s="82" t="s">
        <v>195</v>
      </c>
      <c r="L36" s="9" t="s">
        <v>195</v>
      </c>
      <c r="M36" s="9">
        <v>0.5</v>
      </c>
      <c r="N36" s="9" t="s">
        <v>196</v>
      </c>
      <c r="O36" s="76"/>
      <c r="P36" s="19">
        <v>48</v>
      </c>
      <c r="Q36" s="19" t="s">
        <v>183</v>
      </c>
      <c r="T36" s="9"/>
      <c r="U36" s="9"/>
      <c r="V36" s="10">
        <v>24</v>
      </c>
      <c r="W36" s="9" t="s">
        <v>183</v>
      </c>
      <c r="X36" s="10">
        <v>37</v>
      </c>
      <c r="Y36" s="9" t="s">
        <v>184</v>
      </c>
      <c r="Z36" s="9" t="s">
        <v>197</v>
      </c>
      <c r="AA36" s="9">
        <v>1.25</v>
      </c>
      <c r="AB36" s="9" t="s">
        <v>185</v>
      </c>
    </row>
    <row r="37" spans="1:28" ht="14.25" customHeight="1">
      <c r="A37" s="10">
        <v>3</v>
      </c>
      <c r="B37" s="10">
        <v>8</v>
      </c>
      <c r="C37" s="9" t="s">
        <v>191</v>
      </c>
      <c r="D37" s="9"/>
      <c r="E37" s="9" t="s">
        <v>192</v>
      </c>
      <c r="F37" s="9" t="s">
        <v>193</v>
      </c>
      <c r="G37" s="9" t="s">
        <v>194</v>
      </c>
      <c r="H37" s="9" t="s">
        <v>179</v>
      </c>
      <c r="I37" s="9"/>
      <c r="J37" s="9"/>
      <c r="K37" s="82" t="s">
        <v>195</v>
      </c>
      <c r="L37" s="9" t="s">
        <v>195</v>
      </c>
      <c r="M37" s="9">
        <v>0.75</v>
      </c>
      <c r="N37" s="9" t="s">
        <v>196</v>
      </c>
      <c r="O37" s="76"/>
      <c r="P37" s="19">
        <v>48</v>
      </c>
      <c r="Q37" s="19" t="s">
        <v>183</v>
      </c>
      <c r="T37" s="9"/>
      <c r="U37" s="9"/>
      <c r="V37" s="10">
        <v>24</v>
      </c>
      <c r="W37" s="9" t="s">
        <v>183</v>
      </c>
      <c r="X37" s="10">
        <v>37</v>
      </c>
      <c r="Y37" s="9" t="s">
        <v>184</v>
      </c>
      <c r="Z37" s="9" t="s">
        <v>197</v>
      </c>
      <c r="AA37" s="9">
        <v>1.25</v>
      </c>
      <c r="AB37" s="9" t="s">
        <v>185</v>
      </c>
    </row>
    <row r="38" spans="1:28" ht="14.25" customHeight="1">
      <c r="A38" s="10">
        <v>3</v>
      </c>
      <c r="B38" s="10">
        <v>9</v>
      </c>
      <c r="C38" s="9" t="s">
        <v>191</v>
      </c>
      <c r="D38" s="9"/>
      <c r="E38" s="9" t="s">
        <v>192</v>
      </c>
      <c r="F38" s="9" t="s">
        <v>193</v>
      </c>
      <c r="G38" s="9" t="s">
        <v>194</v>
      </c>
      <c r="H38" s="9" t="s">
        <v>179</v>
      </c>
      <c r="I38" s="9"/>
      <c r="J38" s="9"/>
      <c r="K38" s="82" t="s">
        <v>195</v>
      </c>
      <c r="L38" s="9" t="s">
        <v>195</v>
      </c>
      <c r="M38" s="9">
        <v>1</v>
      </c>
      <c r="N38" s="9" t="s">
        <v>196</v>
      </c>
      <c r="O38" s="76"/>
      <c r="P38" s="19">
        <v>48</v>
      </c>
      <c r="Q38" s="19" t="s">
        <v>183</v>
      </c>
      <c r="T38" s="9"/>
      <c r="U38" s="9"/>
      <c r="V38" s="10">
        <v>24</v>
      </c>
      <c r="W38" s="9" t="s">
        <v>183</v>
      </c>
      <c r="X38" s="10">
        <v>37</v>
      </c>
      <c r="Y38" s="9" t="s">
        <v>184</v>
      </c>
      <c r="Z38" s="9" t="s">
        <v>197</v>
      </c>
      <c r="AA38" s="9">
        <v>1.25</v>
      </c>
      <c r="AB38" s="9" t="s">
        <v>185</v>
      </c>
    </row>
    <row r="39" spans="1:28" ht="14.25" customHeight="1">
      <c r="A39" s="10">
        <v>3</v>
      </c>
      <c r="B39" s="10">
        <v>10</v>
      </c>
      <c r="C39" s="9" t="s">
        <v>191</v>
      </c>
      <c r="D39" s="9"/>
      <c r="E39" s="9" t="s">
        <v>192</v>
      </c>
      <c r="F39" s="9" t="s">
        <v>193</v>
      </c>
      <c r="G39" s="9" t="s">
        <v>194</v>
      </c>
      <c r="H39" s="9" t="s">
        <v>179</v>
      </c>
      <c r="I39" s="9"/>
      <c r="J39" s="9"/>
      <c r="K39" s="82" t="s">
        <v>195</v>
      </c>
      <c r="L39" s="9" t="s">
        <v>195</v>
      </c>
      <c r="M39" s="9">
        <v>1.25</v>
      </c>
      <c r="N39" s="9" t="s">
        <v>196</v>
      </c>
      <c r="O39" s="76"/>
      <c r="P39" s="19">
        <v>48</v>
      </c>
      <c r="Q39" s="19" t="s">
        <v>183</v>
      </c>
      <c r="T39" s="9"/>
      <c r="U39" s="9"/>
      <c r="V39" s="10">
        <v>24</v>
      </c>
      <c r="W39" s="9" t="s">
        <v>183</v>
      </c>
      <c r="X39" s="10">
        <v>37</v>
      </c>
      <c r="Y39" s="9" t="s">
        <v>184</v>
      </c>
      <c r="Z39" s="9" t="s">
        <v>197</v>
      </c>
      <c r="AA39" s="9">
        <v>1.25</v>
      </c>
      <c r="AB39" s="9" t="s">
        <v>185</v>
      </c>
    </row>
    <row r="40" spans="1:28" ht="14.25" customHeight="1">
      <c r="A40" s="10">
        <v>3</v>
      </c>
      <c r="B40" s="10">
        <v>11</v>
      </c>
      <c r="C40" s="9" t="s">
        <v>191</v>
      </c>
      <c r="D40" s="9"/>
      <c r="E40" s="9" t="s">
        <v>192</v>
      </c>
      <c r="F40" s="9" t="s">
        <v>193</v>
      </c>
      <c r="G40" s="9" t="s">
        <v>194</v>
      </c>
      <c r="H40" s="9" t="s">
        <v>179</v>
      </c>
      <c r="I40" s="9"/>
      <c r="J40" s="9"/>
      <c r="K40" s="82" t="s">
        <v>195</v>
      </c>
      <c r="L40" s="9" t="s">
        <v>195</v>
      </c>
      <c r="M40" s="9">
        <v>0.25</v>
      </c>
      <c r="N40" s="9" t="s">
        <v>196</v>
      </c>
      <c r="O40" s="76"/>
      <c r="P40" s="19">
        <v>48</v>
      </c>
      <c r="Q40" s="19" t="s">
        <v>183</v>
      </c>
      <c r="T40" s="9"/>
      <c r="U40" s="9"/>
      <c r="V40" s="10">
        <v>24</v>
      </c>
      <c r="W40" s="9" t="s">
        <v>183</v>
      </c>
      <c r="X40" s="10">
        <v>37</v>
      </c>
      <c r="Y40" s="9" t="s">
        <v>184</v>
      </c>
      <c r="Z40" s="9" t="s">
        <v>197</v>
      </c>
      <c r="AA40" s="9">
        <v>1.25</v>
      </c>
      <c r="AB40" s="9" t="s">
        <v>185</v>
      </c>
    </row>
    <row r="41" spans="1:28" ht="14.25" customHeight="1">
      <c r="A41" s="10">
        <v>3</v>
      </c>
      <c r="B41" s="10">
        <v>12</v>
      </c>
      <c r="C41" s="9" t="s">
        <v>191</v>
      </c>
      <c r="D41" s="9"/>
      <c r="E41" s="9" t="s">
        <v>192</v>
      </c>
      <c r="F41" s="9" t="s">
        <v>193</v>
      </c>
      <c r="G41" s="9" t="s">
        <v>194</v>
      </c>
      <c r="H41" s="9" t="s">
        <v>179</v>
      </c>
      <c r="I41" s="9"/>
      <c r="J41" s="9"/>
      <c r="K41" s="82" t="s">
        <v>195</v>
      </c>
      <c r="L41" s="9" t="s">
        <v>195</v>
      </c>
      <c r="M41" s="9">
        <v>0.5</v>
      </c>
      <c r="N41" s="9" t="s">
        <v>196</v>
      </c>
      <c r="O41" s="76"/>
      <c r="P41" s="19">
        <v>48</v>
      </c>
      <c r="Q41" s="19" t="s">
        <v>183</v>
      </c>
      <c r="T41" s="9"/>
      <c r="U41" s="9"/>
      <c r="V41" s="10">
        <v>24</v>
      </c>
      <c r="W41" s="9" t="s">
        <v>183</v>
      </c>
      <c r="X41" s="10">
        <v>37</v>
      </c>
      <c r="Y41" s="9" t="s">
        <v>184</v>
      </c>
      <c r="Z41" s="9" t="s">
        <v>197</v>
      </c>
      <c r="AA41" s="9">
        <v>1.25</v>
      </c>
      <c r="AB41" s="9" t="s">
        <v>185</v>
      </c>
    </row>
    <row r="42" spans="1:28" ht="14.25" customHeight="1">
      <c r="A42" s="10">
        <v>3</v>
      </c>
      <c r="B42" s="10">
        <v>13</v>
      </c>
      <c r="C42" s="9" t="s">
        <v>191</v>
      </c>
      <c r="D42" s="9"/>
      <c r="E42" s="9" t="s">
        <v>192</v>
      </c>
      <c r="F42" s="9" t="s">
        <v>193</v>
      </c>
      <c r="G42" s="9" t="s">
        <v>194</v>
      </c>
      <c r="H42" s="9" t="s">
        <v>179</v>
      </c>
      <c r="I42" s="9"/>
      <c r="J42" s="9"/>
      <c r="K42" s="82" t="s">
        <v>195</v>
      </c>
      <c r="L42" s="9" t="s">
        <v>195</v>
      </c>
      <c r="M42" s="9">
        <v>0.75</v>
      </c>
      <c r="N42" s="9" t="s">
        <v>196</v>
      </c>
      <c r="O42" s="76"/>
      <c r="P42" s="19">
        <v>48</v>
      </c>
      <c r="Q42" s="19" t="s">
        <v>183</v>
      </c>
      <c r="T42" s="9"/>
      <c r="U42" s="9"/>
      <c r="V42" s="10">
        <v>24</v>
      </c>
      <c r="W42" s="9" t="s">
        <v>183</v>
      </c>
      <c r="X42" s="10">
        <v>37</v>
      </c>
      <c r="Y42" s="9" t="s">
        <v>184</v>
      </c>
      <c r="Z42" s="9" t="s">
        <v>197</v>
      </c>
      <c r="AA42" s="9">
        <v>1.25</v>
      </c>
      <c r="AB42" s="9" t="s">
        <v>185</v>
      </c>
    </row>
    <row r="43" spans="1:28" ht="14.25" customHeight="1">
      <c r="A43" s="10">
        <v>3</v>
      </c>
      <c r="B43" s="10">
        <v>14</v>
      </c>
      <c r="C43" s="9" t="s">
        <v>191</v>
      </c>
      <c r="D43" s="9"/>
      <c r="E43" s="9" t="s">
        <v>192</v>
      </c>
      <c r="F43" s="9" t="s">
        <v>193</v>
      </c>
      <c r="G43" s="9" t="s">
        <v>194</v>
      </c>
      <c r="H43" s="9" t="s">
        <v>179</v>
      </c>
      <c r="I43" s="9"/>
      <c r="J43" s="9"/>
      <c r="K43" s="82" t="s">
        <v>195</v>
      </c>
      <c r="L43" s="9" t="s">
        <v>195</v>
      </c>
      <c r="M43" s="9">
        <v>1</v>
      </c>
      <c r="N43" s="9" t="s">
        <v>196</v>
      </c>
      <c r="O43" s="76"/>
      <c r="P43" s="19">
        <v>48</v>
      </c>
      <c r="Q43" s="19" t="s">
        <v>183</v>
      </c>
      <c r="T43" s="9"/>
      <c r="U43" s="9"/>
      <c r="V43" s="10">
        <v>24</v>
      </c>
      <c r="W43" s="9" t="s">
        <v>183</v>
      </c>
      <c r="X43" s="10">
        <v>37</v>
      </c>
      <c r="Y43" s="9" t="s">
        <v>184</v>
      </c>
      <c r="Z43" s="9" t="s">
        <v>197</v>
      </c>
      <c r="AA43" s="9">
        <v>1.25</v>
      </c>
      <c r="AB43" s="9" t="s">
        <v>185</v>
      </c>
    </row>
    <row r="44" spans="1:28" ht="14.25" customHeight="1">
      <c r="A44" s="10">
        <v>3</v>
      </c>
      <c r="B44" s="10">
        <v>15</v>
      </c>
      <c r="C44" s="9" t="s">
        <v>191</v>
      </c>
      <c r="D44" s="9"/>
      <c r="E44" s="9" t="s">
        <v>192</v>
      </c>
      <c r="F44" s="9" t="s">
        <v>193</v>
      </c>
      <c r="G44" s="9" t="s">
        <v>194</v>
      </c>
      <c r="H44" s="9" t="s">
        <v>179</v>
      </c>
      <c r="I44" s="9"/>
      <c r="J44" s="9"/>
      <c r="K44" s="82" t="s">
        <v>195</v>
      </c>
      <c r="L44" s="9" t="s">
        <v>195</v>
      </c>
      <c r="M44" s="9">
        <v>1.25</v>
      </c>
      <c r="N44" s="9" t="s">
        <v>196</v>
      </c>
      <c r="O44" s="76"/>
      <c r="P44" s="19">
        <v>48</v>
      </c>
      <c r="Q44" s="19" t="s">
        <v>183</v>
      </c>
      <c r="T44" s="9"/>
      <c r="U44" s="9"/>
      <c r="V44" s="10">
        <v>24</v>
      </c>
      <c r="W44" s="9" t="s">
        <v>183</v>
      </c>
      <c r="X44" s="10">
        <v>37</v>
      </c>
      <c r="Y44" s="9" t="s">
        <v>184</v>
      </c>
      <c r="Z44" s="9" t="s">
        <v>197</v>
      </c>
      <c r="AA44" s="9">
        <v>1.25</v>
      </c>
      <c r="AB44" s="9" t="s">
        <v>185</v>
      </c>
    </row>
    <row r="45" spans="1:28" ht="14.25" customHeight="1">
      <c r="A45" s="10">
        <v>3</v>
      </c>
      <c r="B45" s="10">
        <v>16</v>
      </c>
      <c r="C45" s="9" t="s">
        <v>191</v>
      </c>
      <c r="D45" s="9"/>
      <c r="E45" s="9" t="s">
        <v>192</v>
      </c>
      <c r="F45" s="9" t="s">
        <v>193</v>
      </c>
      <c r="G45" s="9" t="s">
        <v>194</v>
      </c>
      <c r="H45" s="9" t="s">
        <v>179</v>
      </c>
      <c r="I45" s="9"/>
      <c r="J45" s="9"/>
      <c r="K45" s="82" t="s">
        <v>195</v>
      </c>
      <c r="L45" s="9" t="s">
        <v>195</v>
      </c>
      <c r="M45" s="9">
        <v>0.25</v>
      </c>
      <c r="N45" s="9" t="s">
        <v>196</v>
      </c>
      <c r="O45" s="76"/>
      <c r="P45" s="19">
        <v>48</v>
      </c>
      <c r="Q45" s="19" t="s">
        <v>183</v>
      </c>
      <c r="T45" s="9"/>
      <c r="U45" s="9"/>
      <c r="V45" s="10">
        <v>24</v>
      </c>
      <c r="W45" s="9" t="s">
        <v>183</v>
      </c>
      <c r="X45" s="10">
        <v>37</v>
      </c>
      <c r="Y45" s="9" t="s">
        <v>184</v>
      </c>
      <c r="Z45" s="9" t="s">
        <v>197</v>
      </c>
      <c r="AA45" s="9">
        <v>1.25</v>
      </c>
      <c r="AB45" s="9" t="s">
        <v>185</v>
      </c>
    </row>
    <row r="46" spans="1:28" ht="14.25" customHeight="1">
      <c r="A46" s="10">
        <v>3</v>
      </c>
      <c r="B46" s="10">
        <v>17</v>
      </c>
      <c r="C46" s="9" t="s">
        <v>191</v>
      </c>
      <c r="D46" s="9"/>
      <c r="E46" s="9" t="s">
        <v>192</v>
      </c>
      <c r="F46" s="9" t="s">
        <v>193</v>
      </c>
      <c r="G46" s="9" t="s">
        <v>194</v>
      </c>
      <c r="H46" s="9" t="s">
        <v>179</v>
      </c>
      <c r="I46" s="9"/>
      <c r="J46" s="9"/>
      <c r="K46" s="82" t="s">
        <v>195</v>
      </c>
      <c r="L46" s="9" t="s">
        <v>195</v>
      </c>
      <c r="M46" s="9">
        <v>0.5</v>
      </c>
      <c r="N46" s="9" t="s">
        <v>196</v>
      </c>
      <c r="O46" s="76"/>
      <c r="P46" s="19">
        <v>48</v>
      </c>
      <c r="Q46" s="19" t="s">
        <v>183</v>
      </c>
      <c r="T46" s="9"/>
      <c r="U46" s="9"/>
      <c r="V46" s="10">
        <v>24</v>
      </c>
      <c r="W46" s="9" t="s">
        <v>183</v>
      </c>
      <c r="X46" s="10">
        <v>37</v>
      </c>
      <c r="Y46" s="9" t="s">
        <v>184</v>
      </c>
      <c r="Z46" s="9" t="s">
        <v>197</v>
      </c>
      <c r="AA46" s="9">
        <v>1.25</v>
      </c>
      <c r="AB46" s="9" t="s">
        <v>185</v>
      </c>
    </row>
    <row r="47" spans="1:28" ht="14.25" customHeight="1">
      <c r="A47" s="10">
        <v>3</v>
      </c>
      <c r="B47" s="10">
        <v>18</v>
      </c>
      <c r="C47" s="9" t="s">
        <v>191</v>
      </c>
      <c r="D47" s="9"/>
      <c r="E47" s="9" t="s">
        <v>192</v>
      </c>
      <c r="F47" s="9" t="s">
        <v>193</v>
      </c>
      <c r="G47" s="9" t="s">
        <v>194</v>
      </c>
      <c r="H47" s="9" t="s">
        <v>179</v>
      </c>
      <c r="I47" s="9"/>
      <c r="J47" s="9"/>
      <c r="K47" s="82" t="s">
        <v>195</v>
      </c>
      <c r="L47" s="9" t="s">
        <v>195</v>
      </c>
      <c r="M47" s="9">
        <v>0.75</v>
      </c>
      <c r="N47" s="9" t="s">
        <v>196</v>
      </c>
      <c r="O47" s="76"/>
      <c r="P47" s="19">
        <v>48</v>
      </c>
      <c r="Q47" s="19" t="s">
        <v>183</v>
      </c>
      <c r="T47" s="9"/>
      <c r="U47" s="9"/>
      <c r="V47" s="10">
        <v>24</v>
      </c>
      <c r="W47" s="9" t="s">
        <v>183</v>
      </c>
      <c r="X47" s="10">
        <v>37</v>
      </c>
      <c r="Y47" s="9" t="s">
        <v>184</v>
      </c>
      <c r="Z47" s="9" t="s">
        <v>197</v>
      </c>
      <c r="AA47" s="9">
        <v>1.25</v>
      </c>
      <c r="AB47" s="9" t="s">
        <v>185</v>
      </c>
    </row>
    <row r="48" spans="1:28" ht="14.25" customHeight="1">
      <c r="A48" s="10">
        <v>3</v>
      </c>
      <c r="B48" s="10">
        <v>19</v>
      </c>
      <c r="C48" s="9" t="s">
        <v>191</v>
      </c>
      <c r="D48" s="9"/>
      <c r="E48" s="9" t="s">
        <v>192</v>
      </c>
      <c r="F48" s="9" t="s">
        <v>193</v>
      </c>
      <c r="G48" s="9" t="s">
        <v>194</v>
      </c>
      <c r="H48" s="9" t="s">
        <v>179</v>
      </c>
      <c r="I48" s="9"/>
      <c r="J48" s="9"/>
      <c r="K48" s="82" t="s">
        <v>195</v>
      </c>
      <c r="L48" s="9" t="s">
        <v>195</v>
      </c>
      <c r="M48" s="9">
        <v>1</v>
      </c>
      <c r="N48" s="9" t="s">
        <v>196</v>
      </c>
      <c r="O48" s="76"/>
      <c r="P48" s="19">
        <v>48</v>
      </c>
      <c r="Q48" s="19" t="s">
        <v>183</v>
      </c>
      <c r="T48" s="9"/>
      <c r="U48" s="9"/>
      <c r="V48" s="10">
        <v>24</v>
      </c>
      <c r="W48" s="9" t="s">
        <v>183</v>
      </c>
      <c r="X48" s="10">
        <v>37</v>
      </c>
      <c r="Y48" s="9" t="s">
        <v>184</v>
      </c>
      <c r="Z48" s="9" t="s">
        <v>197</v>
      </c>
      <c r="AA48" s="9">
        <v>1.25</v>
      </c>
      <c r="AB48" s="9" t="s">
        <v>185</v>
      </c>
    </row>
    <row r="49" spans="1:28" ht="14.25" customHeight="1">
      <c r="A49" s="10">
        <v>3</v>
      </c>
      <c r="B49" s="10">
        <v>20</v>
      </c>
      <c r="C49" s="9" t="s">
        <v>191</v>
      </c>
      <c r="D49" s="9"/>
      <c r="E49" s="9" t="s">
        <v>192</v>
      </c>
      <c r="F49" s="9" t="s">
        <v>193</v>
      </c>
      <c r="G49" s="9" t="s">
        <v>194</v>
      </c>
      <c r="H49" s="9" t="s">
        <v>179</v>
      </c>
      <c r="I49" s="9"/>
      <c r="J49" s="9"/>
      <c r="K49" s="82" t="s">
        <v>195</v>
      </c>
      <c r="L49" s="9" t="s">
        <v>195</v>
      </c>
      <c r="M49" s="9">
        <v>1.25</v>
      </c>
      <c r="N49" s="9" t="s">
        <v>196</v>
      </c>
      <c r="O49" s="76"/>
      <c r="P49" s="19">
        <v>48</v>
      </c>
      <c r="Q49" s="19" t="s">
        <v>183</v>
      </c>
      <c r="T49" s="9"/>
      <c r="U49" s="9"/>
      <c r="V49" s="10">
        <v>24</v>
      </c>
      <c r="W49" s="9" t="s">
        <v>183</v>
      </c>
      <c r="X49" s="10">
        <v>37</v>
      </c>
      <c r="Y49" s="9" t="s">
        <v>184</v>
      </c>
      <c r="Z49" s="9" t="s">
        <v>197</v>
      </c>
      <c r="AA49" s="9">
        <v>1.25</v>
      </c>
      <c r="AB49" s="9" t="s">
        <v>185</v>
      </c>
    </row>
    <row r="50" spans="1:28" ht="14.25" customHeight="1">
      <c r="A50" s="12">
        <v>4</v>
      </c>
      <c r="B50" s="12">
        <v>1</v>
      </c>
      <c r="C50" s="13"/>
      <c r="D50" s="13"/>
      <c r="E50" s="13" t="s">
        <v>198</v>
      </c>
      <c r="F50" s="13" t="s">
        <v>199</v>
      </c>
      <c r="G50" s="13" t="s">
        <v>194</v>
      </c>
      <c r="H50" s="13" t="s">
        <v>179</v>
      </c>
      <c r="I50" s="13"/>
      <c r="J50" s="13"/>
      <c r="K50" s="83" t="s">
        <v>200</v>
      </c>
      <c r="L50" s="13"/>
      <c r="M50" s="18"/>
      <c r="N50" s="18"/>
      <c r="O50" s="77"/>
      <c r="P50" s="12">
        <v>24</v>
      </c>
      <c r="Q50" s="13" t="s">
        <v>183</v>
      </c>
      <c r="R50" s="13">
        <v>37</v>
      </c>
      <c r="S50" s="13" t="s">
        <v>184</v>
      </c>
      <c r="T50" s="13">
        <v>5</v>
      </c>
      <c r="U50" s="13"/>
      <c r="V50" s="13"/>
      <c r="W50" s="13"/>
      <c r="X50" s="13"/>
      <c r="Y50" s="13"/>
      <c r="Z50" s="13"/>
      <c r="AA50" s="13"/>
      <c r="AB50" s="13"/>
    </row>
    <row r="51" spans="1:28" ht="14.25" customHeight="1">
      <c r="A51" s="10">
        <v>4</v>
      </c>
      <c r="B51" s="10">
        <v>2</v>
      </c>
      <c r="C51" s="9"/>
      <c r="D51" s="9"/>
      <c r="E51" s="9" t="s">
        <v>192</v>
      </c>
      <c r="F51" s="9" t="s">
        <v>199</v>
      </c>
      <c r="G51" s="9" t="s">
        <v>194</v>
      </c>
      <c r="H51" s="9" t="s">
        <v>179</v>
      </c>
      <c r="I51" s="9"/>
      <c r="J51" s="9"/>
      <c r="K51" s="82" t="s">
        <v>200</v>
      </c>
      <c r="L51" s="9"/>
      <c r="O51" s="76"/>
      <c r="P51" s="10">
        <v>24</v>
      </c>
      <c r="Q51" s="9" t="s">
        <v>183</v>
      </c>
      <c r="R51" s="9">
        <v>37</v>
      </c>
      <c r="S51" s="9" t="s">
        <v>184</v>
      </c>
      <c r="T51" s="9">
        <v>5</v>
      </c>
      <c r="U51" s="9"/>
      <c r="V51" s="9"/>
      <c r="W51" s="9"/>
      <c r="X51" s="9"/>
      <c r="Y51" s="9"/>
      <c r="Z51" s="9"/>
      <c r="AA51" s="9"/>
      <c r="AB51" s="9"/>
    </row>
    <row r="52" spans="1:28" ht="14.25" customHeight="1">
      <c r="A52" s="10">
        <v>4</v>
      </c>
      <c r="B52" s="10">
        <v>3</v>
      </c>
      <c r="C52" s="9"/>
      <c r="D52" s="9"/>
      <c r="E52" s="9" t="s">
        <v>201</v>
      </c>
      <c r="F52" s="9" t="s">
        <v>199</v>
      </c>
      <c r="G52" s="9" t="s">
        <v>194</v>
      </c>
      <c r="H52" s="9" t="s">
        <v>179</v>
      </c>
      <c r="I52" s="9"/>
      <c r="J52" s="9"/>
      <c r="K52" s="82"/>
      <c r="L52" s="9"/>
      <c r="O52" s="76"/>
      <c r="P52" s="10">
        <v>24</v>
      </c>
      <c r="Q52" s="9" t="s">
        <v>183</v>
      </c>
      <c r="R52" s="9">
        <v>37</v>
      </c>
      <c r="S52" s="9" t="s">
        <v>184</v>
      </c>
      <c r="T52" s="9">
        <v>5</v>
      </c>
      <c r="U52" s="9"/>
      <c r="V52" s="9"/>
      <c r="W52" s="9"/>
      <c r="X52" s="9"/>
      <c r="Y52" s="9"/>
      <c r="Z52" s="9"/>
      <c r="AA52" s="9"/>
      <c r="AB52" s="9"/>
    </row>
    <row r="53" spans="1:28" ht="14.25" customHeight="1">
      <c r="A53" s="12">
        <v>5</v>
      </c>
      <c r="B53" s="12">
        <v>1</v>
      </c>
      <c r="C53" s="13"/>
      <c r="D53" s="13"/>
      <c r="E53" s="13" t="s">
        <v>192</v>
      </c>
      <c r="F53" s="13" t="s">
        <v>202</v>
      </c>
      <c r="G53" s="13" t="s">
        <v>178</v>
      </c>
      <c r="H53" s="13" t="s">
        <v>203</v>
      </c>
      <c r="I53" s="13">
        <v>19000</v>
      </c>
      <c r="J53" s="13" t="s">
        <v>180</v>
      </c>
      <c r="K53" s="83" t="s">
        <v>204</v>
      </c>
      <c r="L53" s="13" t="s">
        <v>204</v>
      </c>
      <c r="M53" s="13">
        <v>250</v>
      </c>
      <c r="N53" s="13" t="s">
        <v>205</v>
      </c>
      <c r="O53" s="77"/>
      <c r="P53" s="12">
        <v>24</v>
      </c>
      <c r="Q53" s="13" t="s">
        <v>183</v>
      </c>
      <c r="R53" s="13">
        <v>37</v>
      </c>
      <c r="S53" s="13" t="s">
        <v>184</v>
      </c>
      <c r="T53" s="13">
        <v>5</v>
      </c>
      <c r="U53" s="13" t="s">
        <v>189</v>
      </c>
      <c r="V53" s="13"/>
      <c r="W53" s="13"/>
      <c r="X53" s="13"/>
      <c r="Y53" s="13"/>
      <c r="Z53" s="13"/>
      <c r="AA53" s="13"/>
      <c r="AB53" s="13"/>
    </row>
    <row r="54" spans="1:28" ht="14.25" customHeight="1">
      <c r="A54" s="10">
        <v>5</v>
      </c>
      <c r="B54" s="10">
        <v>2</v>
      </c>
      <c r="C54" s="9"/>
      <c r="D54" s="9"/>
      <c r="E54" s="9" t="s">
        <v>192</v>
      </c>
      <c r="F54" s="9" t="s">
        <v>202</v>
      </c>
      <c r="G54" s="9" t="s">
        <v>178</v>
      </c>
      <c r="H54" s="9" t="s">
        <v>203</v>
      </c>
      <c r="I54" s="9">
        <v>19000</v>
      </c>
      <c r="J54" s="9" t="s">
        <v>180</v>
      </c>
      <c r="K54" s="82" t="s">
        <v>204</v>
      </c>
      <c r="L54" s="9" t="s">
        <v>204</v>
      </c>
      <c r="M54" s="9">
        <v>62.5</v>
      </c>
      <c r="N54" s="9" t="s">
        <v>205</v>
      </c>
      <c r="O54" s="76"/>
      <c r="P54" s="10">
        <v>24</v>
      </c>
      <c r="Q54" s="9" t="s">
        <v>183</v>
      </c>
      <c r="R54" s="9">
        <v>37</v>
      </c>
      <c r="S54" s="9" t="s">
        <v>184</v>
      </c>
      <c r="T54" s="9">
        <v>5</v>
      </c>
      <c r="U54" s="9" t="s">
        <v>189</v>
      </c>
      <c r="V54" s="9"/>
      <c r="W54" s="9"/>
      <c r="X54" s="9"/>
      <c r="Y54" s="9"/>
      <c r="Z54" s="9"/>
      <c r="AA54" s="9"/>
      <c r="AB54" s="9"/>
    </row>
    <row r="55" spans="1:28" ht="14.25" customHeight="1">
      <c r="A55" s="10">
        <v>5</v>
      </c>
      <c r="B55" s="10">
        <v>3</v>
      </c>
      <c r="C55" s="9"/>
      <c r="D55" s="9"/>
      <c r="E55" s="9" t="s">
        <v>192</v>
      </c>
      <c r="F55" s="9" t="s">
        <v>202</v>
      </c>
      <c r="G55" s="9" t="s">
        <v>178</v>
      </c>
      <c r="H55" s="9" t="s">
        <v>203</v>
      </c>
      <c r="I55" s="9">
        <v>19000</v>
      </c>
      <c r="J55" s="9" t="s">
        <v>180</v>
      </c>
      <c r="K55" s="82" t="s">
        <v>204</v>
      </c>
      <c r="L55" s="9" t="s">
        <v>204</v>
      </c>
      <c r="M55" s="9">
        <v>15.6</v>
      </c>
      <c r="N55" s="9" t="s">
        <v>205</v>
      </c>
      <c r="O55" s="76"/>
      <c r="P55" s="10">
        <v>24</v>
      </c>
      <c r="Q55" s="9" t="s">
        <v>183</v>
      </c>
      <c r="R55" s="9">
        <v>37</v>
      </c>
      <c r="S55" s="9" t="s">
        <v>184</v>
      </c>
      <c r="T55" s="9">
        <v>5</v>
      </c>
      <c r="U55" s="9" t="s">
        <v>189</v>
      </c>
      <c r="V55" s="9"/>
      <c r="W55" s="9"/>
      <c r="X55" s="9"/>
      <c r="Y55" s="9"/>
      <c r="Z55" s="9"/>
      <c r="AA55" s="9"/>
      <c r="AB55" s="9"/>
    </row>
    <row r="56" spans="1:28" ht="14.25" customHeight="1">
      <c r="A56" s="10">
        <v>5</v>
      </c>
      <c r="B56" s="10">
        <v>4</v>
      </c>
      <c r="C56" s="9"/>
      <c r="D56" s="9"/>
      <c r="E56" s="9" t="s">
        <v>192</v>
      </c>
      <c r="F56" s="9" t="s">
        <v>202</v>
      </c>
      <c r="G56" s="9" t="s">
        <v>178</v>
      </c>
      <c r="H56" s="9" t="s">
        <v>203</v>
      </c>
      <c r="I56" s="9">
        <v>19000</v>
      </c>
      <c r="J56" s="9" t="s">
        <v>180</v>
      </c>
      <c r="K56" s="82" t="s">
        <v>204</v>
      </c>
      <c r="L56" s="9" t="s">
        <v>204</v>
      </c>
      <c r="M56" s="9">
        <v>250</v>
      </c>
      <c r="N56" s="9" t="s">
        <v>205</v>
      </c>
      <c r="O56" s="76"/>
      <c r="P56" s="10">
        <v>48</v>
      </c>
      <c r="Q56" s="9" t="s">
        <v>183</v>
      </c>
      <c r="R56" s="9">
        <v>37</v>
      </c>
      <c r="S56" s="9" t="s">
        <v>184</v>
      </c>
      <c r="T56" s="9">
        <v>5</v>
      </c>
      <c r="U56" s="9" t="s">
        <v>189</v>
      </c>
      <c r="V56" s="9"/>
      <c r="W56" s="9"/>
      <c r="X56" s="9"/>
      <c r="Y56" s="9"/>
      <c r="Z56" s="9"/>
      <c r="AA56" s="9"/>
      <c r="AB56" s="9"/>
    </row>
    <row r="57" spans="1:28" ht="14.25" customHeight="1">
      <c r="A57" s="10">
        <v>5</v>
      </c>
      <c r="B57" s="10">
        <v>5</v>
      </c>
      <c r="C57" s="9"/>
      <c r="D57" s="9"/>
      <c r="E57" s="9" t="s">
        <v>192</v>
      </c>
      <c r="F57" s="9" t="s">
        <v>202</v>
      </c>
      <c r="G57" s="9" t="s">
        <v>178</v>
      </c>
      <c r="H57" s="9" t="s">
        <v>203</v>
      </c>
      <c r="I57" s="9">
        <v>19000</v>
      </c>
      <c r="J57" s="9" t="s">
        <v>180</v>
      </c>
      <c r="K57" s="82" t="s">
        <v>204</v>
      </c>
      <c r="L57" s="9" t="s">
        <v>204</v>
      </c>
      <c r="M57" s="9">
        <v>62.5</v>
      </c>
      <c r="N57" s="9" t="s">
        <v>205</v>
      </c>
      <c r="O57" s="76"/>
      <c r="P57" s="10">
        <v>48</v>
      </c>
      <c r="Q57" s="9" t="s">
        <v>183</v>
      </c>
      <c r="R57" s="9">
        <v>37</v>
      </c>
      <c r="S57" s="9" t="s">
        <v>184</v>
      </c>
      <c r="T57" s="9">
        <v>5</v>
      </c>
      <c r="U57" s="9" t="s">
        <v>189</v>
      </c>
      <c r="V57" s="9"/>
      <c r="W57" s="9"/>
      <c r="X57" s="9"/>
      <c r="Y57" s="9"/>
      <c r="Z57" s="9"/>
      <c r="AA57" s="9"/>
      <c r="AB57" s="9"/>
    </row>
    <row r="58" spans="1:28" ht="14.25" customHeight="1">
      <c r="A58" s="10">
        <v>5</v>
      </c>
      <c r="B58" s="10">
        <v>6</v>
      </c>
      <c r="C58" s="9"/>
      <c r="D58" s="9"/>
      <c r="E58" s="9" t="s">
        <v>192</v>
      </c>
      <c r="F58" s="9" t="s">
        <v>202</v>
      </c>
      <c r="G58" s="9" t="s">
        <v>178</v>
      </c>
      <c r="H58" s="9" t="s">
        <v>203</v>
      </c>
      <c r="I58" s="9">
        <v>19000</v>
      </c>
      <c r="J58" s="9" t="s">
        <v>180</v>
      </c>
      <c r="K58" s="82" t="s">
        <v>204</v>
      </c>
      <c r="L58" s="9" t="s">
        <v>204</v>
      </c>
      <c r="M58" s="9">
        <v>15.6</v>
      </c>
      <c r="N58" s="9" t="s">
        <v>205</v>
      </c>
      <c r="O58" s="76"/>
      <c r="P58" s="10">
        <v>48</v>
      </c>
      <c r="Q58" s="9" t="s">
        <v>183</v>
      </c>
      <c r="R58" s="9">
        <v>37</v>
      </c>
      <c r="S58" s="9" t="s">
        <v>184</v>
      </c>
      <c r="T58" s="9">
        <v>5</v>
      </c>
      <c r="U58" s="9" t="s">
        <v>189</v>
      </c>
      <c r="V58" s="9"/>
      <c r="W58" s="9"/>
      <c r="X58" s="9"/>
      <c r="Y58" s="9"/>
      <c r="Z58" s="9"/>
      <c r="AA58" s="9"/>
      <c r="AB58" s="9"/>
    </row>
    <row r="59" spans="1:28" ht="14.25" customHeight="1">
      <c r="A59" s="10">
        <v>5</v>
      </c>
      <c r="B59" s="10">
        <v>7</v>
      </c>
      <c r="C59" s="9"/>
      <c r="D59" s="9"/>
      <c r="E59" s="9" t="s">
        <v>192</v>
      </c>
      <c r="F59" s="9" t="s">
        <v>202</v>
      </c>
      <c r="G59" s="9" t="s">
        <v>178</v>
      </c>
      <c r="H59" s="9" t="s">
        <v>203</v>
      </c>
      <c r="I59" s="9">
        <v>19000</v>
      </c>
      <c r="J59" s="9" t="s">
        <v>180</v>
      </c>
      <c r="K59" s="82" t="s">
        <v>204</v>
      </c>
      <c r="L59" s="9" t="s">
        <v>204</v>
      </c>
      <c r="M59" s="9">
        <v>250</v>
      </c>
      <c r="N59" s="9" t="s">
        <v>205</v>
      </c>
      <c r="O59" s="76"/>
      <c r="P59" s="10">
        <v>72</v>
      </c>
      <c r="Q59" s="9" t="s">
        <v>183</v>
      </c>
      <c r="R59" s="9">
        <v>37</v>
      </c>
      <c r="S59" s="9" t="s">
        <v>184</v>
      </c>
      <c r="T59" s="9">
        <v>5</v>
      </c>
      <c r="U59" s="9" t="s">
        <v>189</v>
      </c>
      <c r="V59" s="9"/>
      <c r="W59" s="9"/>
      <c r="X59" s="9"/>
      <c r="Y59" s="9"/>
      <c r="Z59" s="9"/>
      <c r="AA59" s="9"/>
      <c r="AB59" s="9"/>
    </row>
    <row r="60" spans="1:28" ht="14.25" customHeight="1">
      <c r="A60" s="10">
        <v>5</v>
      </c>
      <c r="B60" s="10">
        <v>8</v>
      </c>
      <c r="C60" s="9"/>
      <c r="D60" s="9"/>
      <c r="E60" s="9" t="s">
        <v>192</v>
      </c>
      <c r="F60" s="9" t="s">
        <v>202</v>
      </c>
      <c r="G60" s="9" t="s">
        <v>178</v>
      </c>
      <c r="H60" s="9" t="s">
        <v>203</v>
      </c>
      <c r="I60" s="9">
        <v>19000</v>
      </c>
      <c r="J60" s="9" t="s">
        <v>180</v>
      </c>
      <c r="K60" s="82" t="s">
        <v>204</v>
      </c>
      <c r="L60" s="9" t="s">
        <v>204</v>
      </c>
      <c r="M60" s="9">
        <v>62.5</v>
      </c>
      <c r="N60" s="9" t="s">
        <v>205</v>
      </c>
      <c r="O60" s="76"/>
      <c r="P60" s="10">
        <v>72</v>
      </c>
      <c r="Q60" s="9" t="s">
        <v>183</v>
      </c>
      <c r="R60" s="9">
        <v>37</v>
      </c>
      <c r="S60" s="9" t="s">
        <v>184</v>
      </c>
      <c r="T60" s="9">
        <v>5</v>
      </c>
      <c r="U60" s="9" t="s">
        <v>189</v>
      </c>
      <c r="V60" s="9"/>
      <c r="W60" s="9"/>
      <c r="X60" s="9"/>
      <c r="Y60" s="9"/>
      <c r="Z60" s="9"/>
      <c r="AA60" s="9"/>
      <c r="AB60" s="9"/>
    </row>
    <row r="61" spans="1:28" ht="14.25" customHeight="1">
      <c r="A61" s="10">
        <v>5</v>
      </c>
      <c r="B61" s="10">
        <v>9</v>
      </c>
      <c r="C61" s="9"/>
      <c r="D61" s="9"/>
      <c r="E61" s="9" t="s">
        <v>192</v>
      </c>
      <c r="F61" s="9" t="s">
        <v>202</v>
      </c>
      <c r="G61" s="9" t="s">
        <v>178</v>
      </c>
      <c r="H61" s="9" t="s">
        <v>203</v>
      </c>
      <c r="I61" s="9">
        <v>19000</v>
      </c>
      <c r="J61" s="9" t="s">
        <v>180</v>
      </c>
      <c r="K61" s="82" t="s">
        <v>204</v>
      </c>
      <c r="L61" s="9" t="s">
        <v>204</v>
      </c>
      <c r="M61" s="9">
        <v>15.6</v>
      </c>
      <c r="N61" s="9" t="s">
        <v>205</v>
      </c>
      <c r="O61" s="76"/>
      <c r="P61" s="10">
        <v>72</v>
      </c>
      <c r="Q61" s="9" t="s">
        <v>183</v>
      </c>
      <c r="R61" s="9">
        <v>37</v>
      </c>
      <c r="S61" s="9" t="s">
        <v>184</v>
      </c>
      <c r="T61" s="9">
        <v>5</v>
      </c>
      <c r="U61" s="9" t="s">
        <v>189</v>
      </c>
      <c r="V61" s="9"/>
      <c r="W61" s="9"/>
      <c r="X61" s="9"/>
      <c r="Y61" s="9"/>
      <c r="Z61" s="9"/>
      <c r="AA61" s="9"/>
      <c r="AB61" s="9"/>
    </row>
    <row r="62" spans="1:28" ht="14.25" customHeight="1">
      <c r="A62" s="12">
        <v>6</v>
      </c>
      <c r="B62" s="12">
        <v>1</v>
      </c>
      <c r="C62" s="13"/>
      <c r="D62" s="13"/>
      <c r="E62" s="13" t="s">
        <v>192</v>
      </c>
      <c r="F62" s="13" t="s">
        <v>206</v>
      </c>
      <c r="G62" s="13" t="s">
        <v>194</v>
      </c>
      <c r="H62" s="13" t="s">
        <v>179</v>
      </c>
      <c r="I62" s="13">
        <v>10000</v>
      </c>
      <c r="J62" s="13" t="s">
        <v>180</v>
      </c>
      <c r="K62" s="83" t="s">
        <v>207</v>
      </c>
      <c r="L62" s="13"/>
      <c r="M62" s="13"/>
      <c r="N62" s="13"/>
      <c r="O62" s="77"/>
      <c r="P62" s="12">
        <v>48</v>
      </c>
      <c r="Q62" s="13" t="s">
        <v>183</v>
      </c>
      <c r="R62" s="13">
        <v>37</v>
      </c>
      <c r="S62" s="13" t="s">
        <v>184</v>
      </c>
      <c r="T62" s="13">
        <v>5</v>
      </c>
      <c r="U62" s="13" t="s">
        <v>189</v>
      </c>
      <c r="V62" s="13">
        <v>72</v>
      </c>
      <c r="W62" s="13" t="s">
        <v>183</v>
      </c>
      <c r="X62" s="13">
        <v>37</v>
      </c>
      <c r="Y62" s="13" t="s">
        <v>184</v>
      </c>
      <c r="Z62" s="13" t="s">
        <v>207</v>
      </c>
      <c r="AA62" s="13"/>
      <c r="AB62" s="13"/>
    </row>
    <row r="63" spans="1:28" ht="14.25" customHeight="1">
      <c r="A63" s="10">
        <v>6</v>
      </c>
      <c r="B63" s="10">
        <v>2</v>
      </c>
      <c r="C63" s="9"/>
      <c r="D63" s="9"/>
      <c r="E63" s="9" t="s">
        <v>192</v>
      </c>
      <c r="F63" s="9" t="s">
        <v>206</v>
      </c>
      <c r="G63" s="9" t="s">
        <v>194</v>
      </c>
      <c r="H63" s="9" t="s">
        <v>179</v>
      </c>
      <c r="I63" s="9">
        <v>10000</v>
      </c>
      <c r="J63" s="9" t="s">
        <v>180</v>
      </c>
      <c r="K63" s="82" t="s">
        <v>207</v>
      </c>
      <c r="L63" s="9"/>
      <c r="M63" s="9"/>
      <c r="N63" s="9"/>
      <c r="O63" s="76"/>
      <c r="P63" s="10">
        <v>48</v>
      </c>
      <c r="Q63" s="9" t="s">
        <v>183</v>
      </c>
      <c r="R63" s="9">
        <v>37</v>
      </c>
      <c r="S63" s="9" t="s">
        <v>184</v>
      </c>
      <c r="T63" s="9">
        <v>5</v>
      </c>
      <c r="U63" s="9" t="s">
        <v>189</v>
      </c>
      <c r="V63" s="9">
        <v>72</v>
      </c>
      <c r="W63" s="9" t="s">
        <v>183</v>
      </c>
      <c r="X63" s="9">
        <v>37</v>
      </c>
      <c r="Y63" s="9" t="s">
        <v>184</v>
      </c>
      <c r="Z63" s="9" t="s">
        <v>207</v>
      </c>
      <c r="AA63" s="9"/>
      <c r="AB63" s="9"/>
    </row>
    <row r="64" spans="1:28" ht="14.25" customHeight="1">
      <c r="A64" s="10">
        <v>6</v>
      </c>
      <c r="B64" s="10">
        <v>3</v>
      </c>
      <c r="C64" s="9"/>
      <c r="D64" s="9"/>
      <c r="E64" s="9" t="s">
        <v>192</v>
      </c>
      <c r="F64" s="9" t="s">
        <v>206</v>
      </c>
      <c r="G64" s="9" t="s">
        <v>194</v>
      </c>
      <c r="H64" s="9" t="s">
        <v>179</v>
      </c>
      <c r="I64" s="9">
        <v>10000</v>
      </c>
      <c r="J64" s="9" t="s">
        <v>180</v>
      </c>
      <c r="K64" s="82" t="s">
        <v>207</v>
      </c>
      <c r="L64" s="9"/>
      <c r="M64" s="9"/>
      <c r="N64" s="9"/>
      <c r="O64" s="76"/>
      <c r="P64" s="10">
        <v>48</v>
      </c>
      <c r="Q64" s="9" t="s">
        <v>183</v>
      </c>
      <c r="R64" s="9">
        <v>37</v>
      </c>
      <c r="S64" s="9" t="s">
        <v>184</v>
      </c>
      <c r="T64" s="9">
        <v>5</v>
      </c>
      <c r="U64" s="9" t="s">
        <v>189</v>
      </c>
      <c r="V64" s="9">
        <v>72</v>
      </c>
      <c r="W64" s="9" t="s">
        <v>183</v>
      </c>
      <c r="X64" s="9">
        <v>37</v>
      </c>
      <c r="Y64" s="9" t="s">
        <v>184</v>
      </c>
      <c r="Z64" s="9" t="s">
        <v>207</v>
      </c>
      <c r="AA64" s="9"/>
      <c r="AB64" s="9"/>
    </row>
    <row r="65" spans="1:28" ht="14.25" customHeight="1">
      <c r="A65" s="10">
        <v>6</v>
      </c>
      <c r="B65" s="10">
        <v>4</v>
      </c>
      <c r="C65" s="9"/>
      <c r="D65" s="9"/>
      <c r="E65" s="9" t="s">
        <v>192</v>
      </c>
      <c r="F65" s="9" t="s">
        <v>206</v>
      </c>
      <c r="G65" s="9" t="s">
        <v>194</v>
      </c>
      <c r="H65" s="9" t="s">
        <v>179</v>
      </c>
      <c r="I65" s="9">
        <v>10000</v>
      </c>
      <c r="J65" s="9" t="s">
        <v>180</v>
      </c>
      <c r="K65" s="82" t="s">
        <v>207</v>
      </c>
      <c r="L65" s="9"/>
      <c r="M65" s="9"/>
      <c r="N65" s="9"/>
      <c r="O65" s="76"/>
      <c r="P65" s="10">
        <v>48</v>
      </c>
      <c r="Q65" s="9" t="s">
        <v>183</v>
      </c>
      <c r="R65" s="9">
        <v>37</v>
      </c>
      <c r="S65" s="9" t="s">
        <v>184</v>
      </c>
      <c r="T65" s="9">
        <v>5</v>
      </c>
      <c r="U65" s="9" t="s">
        <v>189</v>
      </c>
      <c r="V65" s="9">
        <v>72</v>
      </c>
      <c r="W65" s="9" t="s">
        <v>183</v>
      </c>
      <c r="X65" s="9">
        <v>37</v>
      </c>
      <c r="Y65" s="9" t="s">
        <v>184</v>
      </c>
      <c r="Z65" s="9" t="s">
        <v>207</v>
      </c>
      <c r="AA65" s="9"/>
      <c r="AB65" s="9"/>
    </row>
    <row r="66" spans="1:28" ht="14.25" customHeight="1">
      <c r="A66" s="10">
        <v>6</v>
      </c>
      <c r="B66" s="10">
        <v>5</v>
      </c>
      <c r="C66" s="9"/>
      <c r="D66" s="9"/>
      <c r="E66" s="9" t="s">
        <v>192</v>
      </c>
      <c r="F66" s="9" t="s">
        <v>206</v>
      </c>
      <c r="G66" s="9" t="s">
        <v>194</v>
      </c>
      <c r="H66" s="9" t="s">
        <v>179</v>
      </c>
      <c r="I66" s="9">
        <v>10000</v>
      </c>
      <c r="J66" s="9" t="s">
        <v>180</v>
      </c>
      <c r="K66" s="82" t="s">
        <v>207</v>
      </c>
      <c r="L66" s="9"/>
      <c r="M66" s="9"/>
      <c r="N66" s="9"/>
      <c r="O66" s="76"/>
      <c r="P66" s="10">
        <v>48</v>
      </c>
      <c r="Q66" s="9" t="s">
        <v>183</v>
      </c>
      <c r="R66" s="9">
        <v>37</v>
      </c>
      <c r="S66" s="9" t="s">
        <v>184</v>
      </c>
      <c r="T66" s="9">
        <v>5</v>
      </c>
      <c r="U66" s="9" t="s">
        <v>189</v>
      </c>
      <c r="V66" s="9">
        <v>72</v>
      </c>
      <c r="W66" s="9" t="s">
        <v>183</v>
      </c>
      <c r="X66" s="9">
        <v>37</v>
      </c>
      <c r="Y66" s="9" t="s">
        <v>184</v>
      </c>
      <c r="Z66" s="9" t="s">
        <v>207</v>
      </c>
      <c r="AA66" s="9"/>
      <c r="AB66" s="9"/>
    </row>
    <row r="67" spans="1:28" ht="14.25" customHeight="1">
      <c r="A67" s="10">
        <v>6</v>
      </c>
      <c r="B67" s="10">
        <v>6</v>
      </c>
      <c r="C67" s="9"/>
      <c r="D67" s="9"/>
      <c r="E67" s="9" t="s">
        <v>192</v>
      </c>
      <c r="F67" s="9" t="s">
        <v>206</v>
      </c>
      <c r="G67" s="9" t="s">
        <v>194</v>
      </c>
      <c r="H67" s="9" t="s">
        <v>179</v>
      </c>
      <c r="I67" s="9">
        <v>10000</v>
      </c>
      <c r="J67" s="9" t="s">
        <v>180</v>
      </c>
      <c r="K67" s="82" t="s">
        <v>207</v>
      </c>
      <c r="L67" s="9"/>
      <c r="M67" s="9"/>
      <c r="N67" s="9"/>
      <c r="O67" s="76"/>
      <c r="P67" s="10">
        <v>48</v>
      </c>
      <c r="Q67" s="9" t="s">
        <v>183</v>
      </c>
      <c r="R67" s="9">
        <v>37</v>
      </c>
      <c r="S67" s="9" t="s">
        <v>184</v>
      </c>
      <c r="T67" s="9">
        <v>5</v>
      </c>
      <c r="U67" s="9" t="s">
        <v>189</v>
      </c>
      <c r="V67" s="9">
        <v>72</v>
      </c>
      <c r="W67" s="9" t="s">
        <v>183</v>
      </c>
      <c r="X67" s="9">
        <v>37</v>
      </c>
      <c r="Y67" s="9" t="s">
        <v>184</v>
      </c>
      <c r="Z67" s="9" t="s">
        <v>207</v>
      </c>
      <c r="AA67" s="9"/>
      <c r="AB67" s="9"/>
    </row>
    <row r="68" spans="1:28" ht="14.25" customHeight="1">
      <c r="A68" s="12">
        <v>7</v>
      </c>
      <c r="B68" s="12">
        <v>1</v>
      </c>
      <c r="C68" s="13" t="s">
        <v>175</v>
      </c>
      <c r="D68" s="13"/>
      <c r="E68" s="13"/>
      <c r="F68" s="13" t="s">
        <v>208</v>
      </c>
      <c r="G68" s="13" t="s">
        <v>194</v>
      </c>
      <c r="H68" s="14" t="s">
        <v>203</v>
      </c>
      <c r="I68" s="13"/>
      <c r="J68" s="13"/>
      <c r="K68" s="83"/>
      <c r="L68" s="13"/>
      <c r="M68" s="13"/>
      <c r="N68" s="13"/>
      <c r="O68" s="77"/>
      <c r="P68" s="12">
        <v>168</v>
      </c>
      <c r="Q68" s="13" t="s">
        <v>183</v>
      </c>
      <c r="R68" s="13">
        <v>37</v>
      </c>
      <c r="S68" s="13" t="s">
        <v>184</v>
      </c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4.25" customHeight="1">
      <c r="A69" s="10">
        <v>7</v>
      </c>
      <c r="B69" s="10">
        <v>2</v>
      </c>
      <c r="C69" s="9" t="s">
        <v>175</v>
      </c>
      <c r="D69" s="9"/>
      <c r="E69" s="9"/>
      <c r="F69" s="9" t="s">
        <v>208</v>
      </c>
      <c r="G69" s="9" t="s">
        <v>194</v>
      </c>
      <c r="H69" s="11" t="s">
        <v>203</v>
      </c>
      <c r="I69" s="9"/>
      <c r="J69" s="9"/>
      <c r="K69" s="82"/>
      <c r="L69" s="9"/>
      <c r="M69" s="9"/>
      <c r="N69" s="9"/>
      <c r="O69" s="76"/>
      <c r="P69" s="10">
        <v>168</v>
      </c>
      <c r="Q69" s="9" t="s">
        <v>183</v>
      </c>
      <c r="R69" s="9">
        <v>37</v>
      </c>
      <c r="S69" s="9" t="s">
        <v>184</v>
      </c>
      <c r="T69" s="9"/>
      <c r="U69" s="9"/>
      <c r="V69" s="9"/>
      <c r="W69" s="9"/>
      <c r="X69" s="9"/>
      <c r="Y69" s="9"/>
      <c r="Z69" s="9"/>
      <c r="AA69" s="9"/>
      <c r="AB69" s="9"/>
    </row>
    <row r="70" spans="1:28" ht="14.25" customHeight="1">
      <c r="A70" s="10">
        <v>7</v>
      </c>
      <c r="B70" s="10">
        <v>3</v>
      </c>
      <c r="C70" s="9" t="s">
        <v>175</v>
      </c>
      <c r="D70" s="9"/>
      <c r="E70" s="9"/>
      <c r="F70" s="9" t="s">
        <v>208</v>
      </c>
      <c r="G70" s="9" t="s">
        <v>194</v>
      </c>
      <c r="H70" s="11" t="s">
        <v>203</v>
      </c>
      <c r="I70" s="9"/>
      <c r="J70" s="9"/>
      <c r="K70" s="82"/>
      <c r="L70" s="9"/>
      <c r="M70" s="9"/>
      <c r="N70" s="9"/>
      <c r="O70" s="76"/>
      <c r="P70" s="10">
        <v>168</v>
      </c>
      <c r="Q70" s="9" t="s">
        <v>183</v>
      </c>
      <c r="R70" s="9">
        <v>37</v>
      </c>
      <c r="S70" s="9" t="s">
        <v>184</v>
      </c>
      <c r="T70" s="9"/>
      <c r="U70" s="9"/>
      <c r="V70" s="9"/>
      <c r="W70" s="9"/>
      <c r="X70" s="9"/>
      <c r="Y70" s="9"/>
      <c r="Z70" s="9"/>
      <c r="AA70" s="9"/>
      <c r="AB70" s="9"/>
    </row>
    <row r="71" spans="1:28" ht="14.25" customHeight="1">
      <c r="A71" s="10">
        <v>7</v>
      </c>
      <c r="B71" s="10">
        <v>4</v>
      </c>
      <c r="C71" s="9" t="s">
        <v>175</v>
      </c>
      <c r="D71" s="9"/>
      <c r="E71" s="9"/>
      <c r="F71" s="9" t="s">
        <v>208</v>
      </c>
      <c r="G71" s="9" t="s">
        <v>194</v>
      </c>
      <c r="H71" s="11" t="s">
        <v>203</v>
      </c>
      <c r="I71" s="9"/>
      <c r="J71" s="9"/>
      <c r="K71" s="82"/>
      <c r="L71" s="9"/>
      <c r="M71" s="9"/>
      <c r="N71" s="9"/>
      <c r="O71" s="76"/>
      <c r="P71" s="10">
        <v>96</v>
      </c>
      <c r="Q71" s="9" t="s">
        <v>183</v>
      </c>
      <c r="R71" s="9">
        <v>37</v>
      </c>
      <c r="S71" s="9" t="s">
        <v>184</v>
      </c>
      <c r="T71" s="9"/>
      <c r="U71" s="9"/>
      <c r="V71" s="9"/>
      <c r="W71" s="9"/>
      <c r="X71" s="9"/>
      <c r="Y71" s="9"/>
      <c r="Z71" s="9"/>
      <c r="AA71" s="9"/>
      <c r="AB71" s="9"/>
    </row>
    <row r="72" spans="1:28" ht="14.25" customHeight="1">
      <c r="A72" s="10">
        <v>7</v>
      </c>
      <c r="B72" s="10">
        <v>5</v>
      </c>
      <c r="C72" s="9" t="s">
        <v>175</v>
      </c>
      <c r="D72" s="9"/>
      <c r="E72" s="9"/>
      <c r="F72" s="9" t="s">
        <v>208</v>
      </c>
      <c r="G72" s="9" t="s">
        <v>194</v>
      </c>
      <c r="H72" s="11" t="s">
        <v>203</v>
      </c>
      <c r="I72" s="9"/>
      <c r="J72" s="9"/>
      <c r="K72" s="82"/>
      <c r="L72" s="9"/>
      <c r="M72" s="9"/>
      <c r="N72" s="9"/>
      <c r="O72" s="76"/>
      <c r="P72" s="10">
        <v>96</v>
      </c>
      <c r="Q72" s="9" t="s">
        <v>183</v>
      </c>
      <c r="R72" s="9">
        <v>37</v>
      </c>
      <c r="S72" s="9" t="s">
        <v>184</v>
      </c>
      <c r="T72" s="9"/>
      <c r="U72" s="9"/>
      <c r="V72" s="9"/>
      <c r="W72" s="9"/>
      <c r="X72" s="9"/>
      <c r="Y72" s="9"/>
      <c r="Z72" s="9"/>
      <c r="AA72" s="9"/>
      <c r="AB72" s="9"/>
    </row>
    <row r="73" spans="1:28" ht="14.25" customHeight="1">
      <c r="A73" s="10">
        <v>7</v>
      </c>
      <c r="B73" s="10">
        <v>6</v>
      </c>
      <c r="C73" s="9" t="s">
        <v>175</v>
      </c>
      <c r="D73" s="9"/>
      <c r="E73" s="9"/>
      <c r="F73" s="9" t="s">
        <v>208</v>
      </c>
      <c r="G73" s="9" t="s">
        <v>194</v>
      </c>
      <c r="H73" s="11" t="s">
        <v>203</v>
      </c>
      <c r="I73" s="9"/>
      <c r="J73" s="9"/>
      <c r="K73" s="82"/>
      <c r="L73" s="9"/>
      <c r="M73" s="9"/>
      <c r="N73" s="9"/>
      <c r="O73" s="76"/>
      <c r="P73" s="10">
        <v>96</v>
      </c>
      <c r="Q73" s="9" t="s">
        <v>183</v>
      </c>
      <c r="R73" s="9">
        <v>37</v>
      </c>
      <c r="S73" s="9" t="s">
        <v>184</v>
      </c>
      <c r="T73" s="9"/>
      <c r="U73" s="9"/>
      <c r="V73" s="9"/>
      <c r="W73" s="9"/>
      <c r="X73" s="9"/>
      <c r="Y73" s="9"/>
      <c r="Z73" s="9"/>
      <c r="AA73" s="9"/>
      <c r="AB73" s="9"/>
    </row>
    <row r="74" spans="1:28" ht="14.25" customHeight="1">
      <c r="A74" s="10">
        <v>7</v>
      </c>
      <c r="B74" s="10">
        <v>7</v>
      </c>
      <c r="C74" s="9" t="s">
        <v>175</v>
      </c>
      <c r="D74" s="9"/>
      <c r="E74" s="9"/>
      <c r="F74" s="9" t="s">
        <v>208</v>
      </c>
      <c r="G74" s="9" t="s">
        <v>194</v>
      </c>
      <c r="H74" s="11" t="s">
        <v>203</v>
      </c>
      <c r="I74" s="9"/>
      <c r="J74" s="9"/>
      <c r="K74" s="82"/>
      <c r="L74" s="9"/>
      <c r="M74" s="9"/>
      <c r="N74" s="9"/>
      <c r="O74" s="76"/>
      <c r="P74" s="10">
        <v>48</v>
      </c>
      <c r="Q74" s="9" t="s">
        <v>183</v>
      </c>
      <c r="R74" s="9">
        <v>37</v>
      </c>
      <c r="S74" s="9" t="s">
        <v>184</v>
      </c>
      <c r="T74" s="9"/>
      <c r="U74" s="9"/>
      <c r="V74" s="9"/>
      <c r="W74" s="9"/>
      <c r="X74" s="9"/>
      <c r="Y74" s="9"/>
      <c r="Z74" s="9"/>
      <c r="AA74" s="9"/>
      <c r="AB74" s="9"/>
    </row>
    <row r="75" spans="1:28" ht="14.25" customHeight="1">
      <c r="A75" s="10">
        <v>7</v>
      </c>
      <c r="B75" s="10">
        <v>8</v>
      </c>
      <c r="C75" s="9" t="s">
        <v>175</v>
      </c>
      <c r="D75" s="9"/>
      <c r="E75" s="9"/>
      <c r="F75" s="9" t="s">
        <v>208</v>
      </c>
      <c r="G75" s="9" t="s">
        <v>194</v>
      </c>
      <c r="H75" s="11" t="s">
        <v>203</v>
      </c>
      <c r="I75" s="9"/>
      <c r="J75" s="9"/>
      <c r="K75" s="82"/>
      <c r="L75" s="9"/>
      <c r="M75" s="9"/>
      <c r="N75" s="9"/>
      <c r="O75" s="76"/>
      <c r="P75" s="10">
        <v>48</v>
      </c>
      <c r="Q75" s="9" t="s">
        <v>183</v>
      </c>
      <c r="R75" s="9">
        <v>37</v>
      </c>
      <c r="S75" s="9" t="s">
        <v>184</v>
      </c>
      <c r="T75" s="9"/>
      <c r="U75" s="9"/>
      <c r="V75" s="9"/>
      <c r="W75" s="9"/>
      <c r="X75" s="9"/>
      <c r="Y75" s="9"/>
      <c r="Z75" s="9"/>
      <c r="AA75" s="9"/>
      <c r="AB75" s="9"/>
    </row>
    <row r="76" spans="1:28" ht="14.25" customHeight="1">
      <c r="A76" s="10">
        <v>7</v>
      </c>
      <c r="B76" s="10">
        <v>9</v>
      </c>
      <c r="C76" s="9" t="s">
        <v>175</v>
      </c>
      <c r="D76" s="9"/>
      <c r="E76" s="9"/>
      <c r="F76" s="9" t="s">
        <v>208</v>
      </c>
      <c r="G76" s="9" t="s">
        <v>194</v>
      </c>
      <c r="H76" s="11" t="s">
        <v>203</v>
      </c>
      <c r="I76" s="9"/>
      <c r="J76" s="9"/>
      <c r="K76" s="82"/>
      <c r="L76" s="9"/>
      <c r="M76" s="9"/>
      <c r="N76" s="9"/>
      <c r="O76" s="76"/>
      <c r="P76" s="10">
        <v>48</v>
      </c>
      <c r="Q76" s="9" t="s">
        <v>183</v>
      </c>
      <c r="R76" s="9">
        <v>37</v>
      </c>
      <c r="S76" s="9" t="s">
        <v>184</v>
      </c>
      <c r="T76" s="9"/>
      <c r="U76" s="9"/>
      <c r="V76" s="9"/>
      <c r="W76" s="9"/>
      <c r="X76" s="9"/>
      <c r="Y76" s="9"/>
      <c r="Z76" s="9"/>
      <c r="AA76" s="9"/>
      <c r="AB76" s="9"/>
    </row>
    <row r="77" spans="1:28" ht="14.25" customHeight="1">
      <c r="A77" s="12">
        <v>8</v>
      </c>
      <c r="B77" s="12">
        <v>1</v>
      </c>
      <c r="C77" s="13"/>
      <c r="D77" s="13"/>
      <c r="E77" s="13" t="s">
        <v>192</v>
      </c>
      <c r="F77" s="13" t="s">
        <v>209</v>
      </c>
      <c r="G77" s="13" t="s">
        <v>178</v>
      </c>
      <c r="H77" s="13" t="s">
        <v>179</v>
      </c>
      <c r="I77" s="13">
        <v>9600</v>
      </c>
      <c r="J77" s="13" t="s">
        <v>180</v>
      </c>
      <c r="K77" s="83" t="s">
        <v>210</v>
      </c>
      <c r="L77" s="13"/>
      <c r="M77" s="13"/>
      <c r="N77" s="13"/>
      <c r="O77" s="77"/>
      <c r="P77" s="12">
        <v>24</v>
      </c>
      <c r="Q77" s="13" t="s">
        <v>183</v>
      </c>
      <c r="R77" s="13">
        <v>37</v>
      </c>
      <c r="S77" s="13" t="s">
        <v>184</v>
      </c>
      <c r="T77" s="13">
        <v>5</v>
      </c>
      <c r="U77" s="13" t="s">
        <v>189</v>
      </c>
      <c r="V77" s="13"/>
      <c r="W77" s="13"/>
      <c r="X77" s="13"/>
      <c r="Y77" s="13"/>
      <c r="Z77" s="13"/>
      <c r="AA77" s="13"/>
      <c r="AB77" s="13"/>
    </row>
    <row r="78" spans="1:28" ht="14.25" customHeight="1">
      <c r="A78" s="10">
        <v>8</v>
      </c>
      <c r="B78" s="10">
        <v>2</v>
      </c>
      <c r="C78" s="9"/>
      <c r="D78" s="9"/>
      <c r="E78" s="9" t="s">
        <v>192</v>
      </c>
      <c r="F78" s="9" t="s">
        <v>209</v>
      </c>
      <c r="G78" s="9" t="s">
        <v>178</v>
      </c>
      <c r="H78" s="9" t="s">
        <v>179</v>
      </c>
      <c r="I78" s="9">
        <v>9600</v>
      </c>
      <c r="J78" s="9" t="s">
        <v>180</v>
      </c>
      <c r="K78" s="82" t="s">
        <v>210</v>
      </c>
      <c r="L78" s="9"/>
      <c r="M78" s="9"/>
      <c r="N78" s="9"/>
      <c r="O78" s="76"/>
      <c r="P78" s="10">
        <v>24</v>
      </c>
      <c r="Q78" s="9" t="s">
        <v>183</v>
      </c>
      <c r="R78" s="9">
        <v>37</v>
      </c>
      <c r="S78" s="9" t="s">
        <v>184</v>
      </c>
      <c r="T78" s="9">
        <v>5</v>
      </c>
      <c r="U78" s="9" t="s">
        <v>189</v>
      </c>
      <c r="V78" s="9"/>
      <c r="W78" s="9"/>
      <c r="X78" s="9"/>
      <c r="Y78" s="9"/>
      <c r="Z78" s="9"/>
      <c r="AA78" s="9"/>
      <c r="AB78" s="9"/>
    </row>
    <row r="79" spans="1:28" ht="14.25" customHeight="1">
      <c r="A79" s="10">
        <v>8</v>
      </c>
      <c r="B79" s="10">
        <v>3</v>
      </c>
      <c r="C79" s="9"/>
      <c r="D79" s="9"/>
      <c r="E79" s="9" t="s">
        <v>192</v>
      </c>
      <c r="F79" s="9" t="s">
        <v>209</v>
      </c>
      <c r="G79" s="9" t="s">
        <v>178</v>
      </c>
      <c r="H79" s="9" t="s">
        <v>179</v>
      </c>
      <c r="I79" s="9">
        <v>9600</v>
      </c>
      <c r="J79" s="9" t="s">
        <v>180</v>
      </c>
      <c r="K79" s="82" t="s">
        <v>210</v>
      </c>
      <c r="L79" s="9"/>
      <c r="M79" s="9"/>
      <c r="N79" s="9"/>
      <c r="O79" s="76"/>
      <c r="P79" s="10">
        <v>24</v>
      </c>
      <c r="Q79" s="9" t="s">
        <v>183</v>
      </c>
      <c r="R79" s="9">
        <v>37</v>
      </c>
      <c r="S79" s="9" t="s">
        <v>184</v>
      </c>
      <c r="T79" s="9">
        <v>5</v>
      </c>
      <c r="U79" s="9" t="s">
        <v>189</v>
      </c>
      <c r="V79" s="9"/>
      <c r="W79" s="9"/>
      <c r="X79" s="9"/>
      <c r="Y79" s="9"/>
      <c r="Z79" s="9"/>
      <c r="AA79" s="9"/>
      <c r="AB79" s="9"/>
    </row>
    <row r="80" spans="1:28" ht="14.25" customHeight="1">
      <c r="A80" s="10">
        <v>8</v>
      </c>
      <c r="B80" s="10">
        <v>4</v>
      </c>
      <c r="C80" s="9"/>
      <c r="D80" s="9"/>
      <c r="E80" s="9" t="s">
        <v>192</v>
      </c>
      <c r="F80" s="9" t="s">
        <v>209</v>
      </c>
      <c r="G80" s="9" t="s">
        <v>178</v>
      </c>
      <c r="H80" s="9" t="s">
        <v>179</v>
      </c>
      <c r="I80" s="9">
        <v>9600</v>
      </c>
      <c r="J80" s="9" t="s">
        <v>180</v>
      </c>
      <c r="K80" s="82" t="s">
        <v>210</v>
      </c>
      <c r="L80" s="9"/>
      <c r="M80" s="9"/>
      <c r="N80" s="9"/>
      <c r="O80" s="76"/>
      <c r="P80" s="10">
        <v>48</v>
      </c>
      <c r="Q80" s="9" t="s">
        <v>183</v>
      </c>
      <c r="R80" s="9">
        <v>37</v>
      </c>
      <c r="S80" s="9" t="s">
        <v>184</v>
      </c>
      <c r="T80" s="9">
        <v>5</v>
      </c>
      <c r="U80" s="9" t="s">
        <v>189</v>
      </c>
      <c r="V80" s="9"/>
      <c r="W80" s="9"/>
      <c r="X80" s="9"/>
      <c r="Y80" s="9"/>
      <c r="Z80" s="9"/>
      <c r="AA80" s="9"/>
      <c r="AB80" s="9"/>
    </row>
    <row r="81" spans="1:28" ht="14.25" customHeight="1">
      <c r="A81" s="10">
        <v>8</v>
      </c>
      <c r="B81" s="10">
        <v>5</v>
      </c>
      <c r="C81" s="9"/>
      <c r="D81" s="9"/>
      <c r="E81" s="9" t="s">
        <v>192</v>
      </c>
      <c r="F81" s="9" t="s">
        <v>209</v>
      </c>
      <c r="G81" s="9" t="s">
        <v>178</v>
      </c>
      <c r="H81" s="9" t="s">
        <v>179</v>
      </c>
      <c r="I81" s="9">
        <v>9600</v>
      </c>
      <c r="J81" s="9" t="s">
        <v>180</v>
      </c>
      <c r="K81" s="82" t="s">
        <v>210</v>
      </c>
      <c r="L81" s="9"/>
      <c r="M81" s="9"/>
      <c r="N81" s="9"/>
      <c r="O81" s="76"/>
      <c r="P81" s="10">
        <v>48</v>
      </c>
      <c r="Q81" s="9" t="s">
        <v>183</v>
      </c>
      <c r="R81" s="9">
        <v>37</v>
      </c>
      <c r="S81" s="9" t="s">
        <v>184</v>
      </c>
      <c r="T81" s="9">
        <v>5</v>
      </c>
      <c r="U81" s="9" t="s">
        <v>189</v>
      </c>
      <c r="V81" s="9"/>
      <c r="W81" s="9"/>
      <c r="X81" s="9"/>
      <c r="Y81" s="9"/>
      <c r="Z81" s="9"/>
      <c r="AA81" s="9"/>
      <c r="AB81" s="9"/>
    </row>
    <row r="82" spans="1:28" ht="14.25" customHeight="1">
      <c r="A82" s="10">
        <v>8</v>
      </c>
      <c r="B82" s="10">
        <v>6</v>
      </c>
      <c r="C82" s="9"/>
      <c r="D82" s="9"/>
      <c r="E82" s="9" t="s">
        <v>192</v>
      </c>
      <c r="F82" s="9" t="s">
        <v>209</v>
      </c>
      <c r="G82" s="9" t="s">
        <v>178</v>
      </c>
      <c r="H82" s="9" t="s">
        <v>179</v>
      </c>
      <c r="I82" s="9">
        <v>9600</v>
      </c>
      <c r="J82" s="9" t="s">
        <v>180</v>
      </c>
      <c r="K82" s="82" t="s">
        <v>210</v>
      </c>
      <c r="L82" s="9"/>
      <c r="M82" s="9"/>
      <c r="N82" s="9"/>
      <c r="O82" s="76"/>
      <c r="P82" s="10">
        <v>48</v>
      </c>
      <c r="Q82" s="9" t="s">
        <v>183</v>
      </c>
      <c r="R82" s="9">
        <v>37</v>
      </c>
      <c r="S82" s="9" t="s">
        <v>184</v>
      </c>
      <c r="T82" s="9">
        <v>5</v>
      </c>
      <c r="U82" s="9" t="s">
        <v>189</v>
      </c>
      <c r="V82" s="9"/>
      <c r="W82" s="9"/>
      <c r="X82" s="9"/>
      <c r="Y82" s="9"/>
      <c r="Z82" s="9"/>
      <c r="AA82" s="9"/>
      <c r="AB82" s="9"/>
    </row>
    <row r="83" spans="1:28" ht="14.25" customHeight="1">
      <c r="A83" s="4">
        <v>9</v>
      </c>
      <c r="B83" s="4">
        <v>1</v>
      </c>
      <c r="C83" s="13" t="s">
        <v>175</v>
      </c>
      <c r="D83" s="13"/>
      <c r="E83" s="13"/>
      <c r="F83" s="13" t="s">
        <v>211</v>
      </c>
      <c r="G83" s="13" t="s">
        <v>212</v>
      </c>
      <c r="H83" s="13" t="s">
        <v>179</v>
      </c>
      <c r="I83" s="13">
        <v>200000</v>
      </c>
      <c r="J83" s="13" t="s">
        <v>180</v>
      </c>
      <c r="K83" s="83" t="s">
        <v>213</v>
      </c>
      <c r="L83" s="13"/>
      <c r="M83" s="13"/>
      <c r="N83" s="13"/>
      <c r="O83" s="77"/>
      <c r="P83" s="12">
        <v>24</v>
      </c>
      <c r="Q83" s="13" t="s">
        <v>183</v>
      </c>
      <c r="R83" s="13">
        <v>37</v>
      </c>
      <c r="S83" s="13" t="s">
        <v>184</v>
      </c>
      <c r="T83" s="13"/>
      <c r="U83" s="13"/>
      <c r="V83" s="13"/>
      <c r="W83" s="13"/>
      <c r="X83" s="13"/>
      <c r="Y83" s="13"/>
      <c r="Z83" s="13"/>
      <c r="AA83" s="13"/>
      <c r="AB83" s="13"/>
    </row>
    <row r="84" spans="1:28" ht="14.25" customHeight="1">
      <c r="A84" s="2">
        <v>9</v>
      </c>
      <c r="B84" s="2">
        <v>2</v>
      </c>
      <c r="C84" s="9" t="s">
        <v>175</v>
      </c>
      <c r="D84" s="9"/>
      <c r="E84" s="9"/>
      <c r="F84" s="9" t="s">
        <v>211</v>
      </c>
      <c r="G84" s="9" t="s">
        <v>212</v>
      </c>
      <c r="H84" s="9" t="s">
        <v>179</v>
      </c>
      <c r="I84" s="9">
        <v>200000</v>
      </c>
      <c r="J84" s="9" t="s">
        <v>180</v>
      </c>
      <c r="K84" s="82" t="s">
        <v>213</v>
      </c>
      <c r="L84" s="9"/>
      <c r="M84" s="9"/>
      <c r="N84" s="9"/>
      <c r="O84" s="76"/>
      <c r="P84" s="10">
        <v>24</v>
      </c>
      <c r="Q84" s="9" t="s">
        <v>183</v>
      </c>
      <c r="R84" s="9">
        <v>37</v>
      </c>
      <c r="S84" s="9" t="s">
        <v>184</v>
      </c>
      <c r="T84" s="9"/>
      <c r="U84" s="9"/>
      <c r="V84" s="9"/>
      <c r="W84" s="9"/>
      <c r="X84" s="9"/>
      <c r="Y84" s="9"/>
      <c r="Z84" s="9"/>
      <c r="AA84" s="9"/>
      <c r="AB84" s="9"/>
    </row>
    <row r="85" spans="1:28" ht="14.25" customHeight="1">
      <c r="A85" s="2">
        <v>9</v>
      </c>
      <c r="B85" s="2">
        <v>3</v>
      </c>
      <c r="C85" s="9" t="s">
        <v>175</v>
      </c>
      <c r="D85" s="9"/>
      <c r="E85" s="9"/>
      <c r="F85" s="9" t="s">
        <v>211</v>
      </c>
      <c r="G85" s="9" t="s">
        <v>212</v>
      </c>
      <c r="H85" s="9" t="s">
        <v>179</v>
      </c>
      <c r="I85" s="9">
        <v>200000</v>
      </c>
      <c r="J85" s="9" t="s">
        <v>180</v>
      </c>
      <c r="K85" s="82" t="s">
        <v>213</v>
      </c>
      <c r="L85" s="9"/>
      <c r="M85" s="9"/>
      <c r="N85" s="9"/>
      <c r="O85" s="76"/>
      <c r="P85" s="10">
        <v>24</v>
      </c>
      <c r="Q85" s="9" t="s">
        <v>183</v>
      </c>
      <c r="R85" s="9">
        <v>37</v>
      </c>
      <c r="S85" s="9" t="s">
        <v>184</v>
      </c>
      <c r="T85" s="9"/>
      <c r="U85" s="9"/>
      <c r="V85" s="9"/>
      <c r="W85" s="9"/>
      <c r="X85" s="9"/>
      <c r="Y85" s="9"/>
      <c r="Z85" s="9"/>
      <c r="AA85" s="9"/>
      <c r="AB85" s="9"/>
    </row>
    <row r="86" spans="1:28" ht="14.25" customHeight="1">
      <c r="A86" s="2">
        <v>9</v>
      </c>
      <c r="B86" s="2">
        <v>4</v>
      </c>
      <c r="C86" s="9" t="s">
        <v>175</v>
      </c>
      <c r="D86" s="9"/>
      <c r="E86" s="9"/>
      <c r="F86" s="9" t="s">
        <v>211</v>
      </c>
      <c r="G86" s="9" t="s">
        <v>212</v>
      </c>
      <c r="H86" s="9" t="s">
        <v>179</v>
      </c>
      <c r="I86" s="9">
        <v>200000</v>
      </c>
      <c r="J86" s="9" t="s">
        <v>180</v>
      </c>
      <c r="K86" s="82" t="s">
        <v>213</v>
      </c>
      <c r="L86" s="9"/>
      <c r="M86" s="9"/>
      <c r="N86" s="9"/>
      <c r="O86" s="76"/>
      <c r="P86" s="10">
        <v>24</v>
      </c>
      <c r="Q86" s="9" t="s">
        <v>183</v>
      </c>
      <c r="R86" s="9">
        <v>37</v>
      </c>
      <c r="S86" s="9" t="s">
        <v>184</v>
      </c>
      <c r="T86" s="9"/>
      <c r="U86" s="9"/>
      <c r="V86" s="9"/>
      <c r="W86" s="9"/>
      <c r="X86" s="9"/>
      <c r="Y86" s="9"/>
      <c r="Z86" s="9"/>
      <c r="AA86" s="9"/>
      <c r="AB86" s="9"/>
    </row>
    <row r="87" spans="1:28" ht="14.25" customHeight="1">
      <c r="A87" s="2">
        <v>9</v>
      </c>
      <c r="B87" s="2">
        <v>5</v>
      </c>
      <c r="C87" s="9" t="s">
        <v>175</v>
      </c>
      <c r="D87" s="9"/>
      <c r="E87" s="9"/>
      <c r="F87" s="9" t="s">
        <v>211</v>
      </c>
      <c r="G87" s="9" t="s">
        <v>212</v>
      </c>
      <c r="H87" s="9" t="s">
        <v>203</v>
      </c>
      <c r="I87" s="9">
        <v>200000</v>
      </c>
      <c r="J87" s="9" t="s">
        <v>180</v>
      </c>
      <c r="K87" s="82" t="s">
        <v>213</v>
      </c>
      <c r="L87" s="9"/>
      <c r="M87" s="9"/>
      <c r="N87" s="9"/>
      <c r="O87" s="76"/>
      <c r="P87" s="10">
        <v>24</v>
      </c>
      <c r="Q87" s="9" t="s">
        <v>183</v>
      </c>
      <c r="R87" s="9">
        <v>37</v>
      </c>
      <c r="S87" s="9" t="s">
        <v>184</v>
      </c>
      <c r="T87" s="9"/>
      <c r="U87" s="9"/>
      <c r="V87" s="9"/>
      <c r="W87" s="9"/>
      <c r="X87" s="9"/>
      <c r="Y87" s="9"/>
      <c r="Z87" s="9"/>
      <c r="AA87" s="9"/>
      <c r="AB87" s="9"/>
    </row>
    <row r="88" spans="1:28" ht="14.25" customHeight="1">
      <c r="A88" s="2">
        <v>9</v>
      </c>
      <c r="B88" s="2">
        <v>6</v>
      </c>
      <c r="C88" s="9" t="s">
        <v>175</v>
      </c>
      <c r="D88" s="9"/>
      <c r="E88" s="9"/>
      <c r="F88" s="9" t="s">
        <v>211</v>
      </c>
      <c r="G88" s="9" t="s">
        <v>212</v>
      </c>
      <c r="H88" s="9" t="s">
        <v>203</v>
      </c>
      <c r="I88" s="9">
        <v>200000</v>
      </c>
      <c r="J88" s="9" t="s">
        <v>180</v>
      </c>
      <c r="K88" s="82" t="s">
        <v>213</v>
      </c>
      <c r="L88" s="9"/>
      <c r="M88" s="9"/>
      <c r="N88" s="9"/>
      <c r="O88" s="76"/>
      <c r="P88" s="10">
        <v>24</v>
      </c>
      <c r="Q88" s="9" t="s">
        <v>183</v>
      </c>
      <c r="R88" s="9">
        <v>37</v>
      </c>
      <c r="S88" s="9" t="s">
        <v>184</v>
      </c>
      <c r="T88" s="9"/>
      <c r="U88" s="9"/>
      <c r="V88" s="9"/>
      <c r="W88" s="9"/>
      <c r="X88" s="9"/>
      <c r="Y88" s="9"/>
      <c r="Z88" s="9"/>
      <c r="AA88" s="9"/>
      <c r="AB88" s="9"/>
    </row>
    <row r="89" spans="1:28" ht="14.25" customHeight="1">
      <c r="A89" s="2">
        <v>9</v>
      </c>
      <c r="B89" s="2">
        <v>7</v>
      </c>
      <c r="C89" s="9" t="s">
        <v>175</v>
      </c>
      <c r="D89" s="9"/>
      <c r="E89" s="9"/>
      <c r="F89" s="9" t="s">
        <v>211</v>
      </c>
      <c r="G89" s="9" t="s">
        <v>212</v>
      </c>
      <c r="H89" s="9" t="s">
        <v>203</v>
      </c>
      <c r="I89" s="9">
        <v>200000</v>
      </c>
      <c r="J89" s="9" t="s">
        <v>180</v>
      </c>
      <c r="K89" s="82" t="s">
        <v>213</v>
      </c>
      <c r="L89" s="9"/>
      <c r="M89" s="9"/>
      <c r="N89" s="9"/>
      <c r="O89" s="76"/>
      <c r="P89" s="10">
        <v>24</v>
      </c>
      <c r="Q89" s="9" t="s">
        <v>183</v>
      </c>
      <c r="R89" s="9">
        <v>37</v>
      </c>
      <c r="S89" s="9" t="s">
        <v>184</v>
      </c>
      <c r="T89" s="9"/>
      <c r="U89" s="9"/>
      <c r="V89" s="9"/>
      <c r="W89" s="9"/>
      <c r="X89" s="9"/>
      <c r="Y89" s="9"/>
      <c r="Z89" s="9"/>
      <c r="AA89" s="9"/>
      <c r="AB89" s="9"/>
    </row>
    <row r="90" spans="1:28" ht="14.25" customHeight="1">
      <c r="A90" s="2">
        <v>9</v>
      </c>
      <c r="B90" s="2">
        <v>8</v>
      </c>
      <c r="C90" s="9" t="s">
        <v>175</v>
      </c>
      <c r="D90" s="9"/>
      <c r="E90" s="9"/>
      <c r="F90" s="9" t="s">
        <v>211</v>
      </c>
      <c r="G90" s="9" t="s">
        <v>212</v>
      </c>
      <c r="H90" s="9" t="s">
        <v>203</v>
      </c>
      <c r="I90" s="9">
        <v>200000</v>
      </c>
      <c r="J90" s="9" t="s">
        <v>180</v>
      </c>
      <c r="K90" s="82" t="s">
        <v>213</v>
      </c>
      <c r="L90" s="9"/>
      <c r="M90" s="9"/>
      <c r="N90" s="9"/>
      <c r="O90" s="76"/>
      <c r="P90" s="10">
        <v>24</v>
      </c>
      <c r="Q90" s="9" t="s">
        <v>183</v>
      </c>
      <c r="R90" s="9">
        <v>37</v>
      </c>
      <c r="S90" s="9" t="s">
        <v>184</v>
      </c>
      <c r="T90" s="9"/>
      <c r="U90" s="9"/>
      <c r="V90" s="9"/>
      <c r="W90" s="9"/>
      <c r="X90" s="9"/>
      <c r="Y90" s="9"/>
      <c r="Z90" s="9"/>
      <c r="AA90" s="9"/>
      <c r="AB90" s="9"/>
    </row>
    <row r="91" spans="1:28" ht="14.25" customHeight="1">
      <c r="A91" s="12">
        <v>10</v>
      </c>
      <c r="B91" s="12">
        <v>1</v>
      </c>
      <c r="C91" s="13"/>
      <c r="D91" s="13" t="s">
        <v>214</v>
      </c>
      <c r="E91" s="13" t="s">
        <v>215</v>
      </c>
      <c r="F91" s="13" t="s">
        <v>216</v>
      </c>
      <c r="G91" s="13" t="s">
        <v>194</v>
      </c>
      <c r="H91" s="13"/>
      <c r="I91" s="13"/>
      <c r="J91" s="13"/>
      <c r="K91" s="83" t="s">
        <v>217</v>
      </c>
      <c r="L91" s="13"/>
      <c r="M91" s="13"/>
      <c r="N91" s="13"/>
      <c r="O91" s="77"/>
      <c r="P91" s="12">
        <v>24</v>
      </c>
      <c r="Q91" s="13" t="s">
        <v>183</v>
      </c>
      <c r="R91" s="13">
        <v>37</v>
      </c>
      <c r="S91" s="100" t="s">
        <v>184</v>
      </c>
      <c r="T91" s="13">
        <v>5</v>
      </c>
      <c r="U91" s="13" t="s">
        <v>189</v>
      </c>
      <c r="V91" s="13"/>
      <c r="W91" s="13"/>
      <c r="X91" s="13"/>
      <c r="Y91" s="13"/>
      <c r="Z91" s="13"/>
      <c r="AA91" s="13"/>
      <c r="AB91" s="13"/>
    </row>
    <row r="92" spans="1:28" ht="14.25" customHeight="1">
      <c r="A92" s="4">
        <v>11</v>
      </c>
      <c r="B92" s="4">
        <v>1</v>
      </c>
      <c r="C92" s="13" t="s">
        <v>175</v>
      </c>
      <c r="D92" s="13"/>
      <c r="E92" s="13" t="s">
        <v>192</v>
      </c>
      <c r="F92" s="13" t="s">
        <v>216</v>
      </c>
      <c r="G92" s="13" t="s">
        <v>194</v>
      </c>
      <c r="H92" s="13" t="s">
        <v>179</v>
      </c>
      <c r="I92" s="13">
        <v>2000000</v>
      </c>
      <c r="J92" s="13" t="s">
        <v>180</v>
      </c>
      <c r="K92" s="83" t="s">
        <v>218</v>
      </c>
      <c r="L92" s="13"/>
      <c r="M92" s="13"/>
      <c r="N92" s="13"/>
      <c r="O92" s="77"/>
      <c r="P92" s="12">
        <v>72</v>
      </c>
      <c r="Q92" s="13" t="s">
        <v>183</v>
      </c>
      <c r="R92" s="13">
        <v>37</v>
      </c>
      <c r="S92" s="9" t="s">
        <v>184</v>
      </c>
      <c r="T92" s="13">
        <v>5</v>
      </c>
      <c r="U92" s="13" t="s">
        <v>189</v>
      </c>
      <c r="V92" s="13"/>
      <c r="W92" s="13"/>
      <c r="X92" s="13"/>
      <c r="Y92" s="13"/>
      <c r="Z92" s="13"/>
      <c r="AA92" s="13"/>
      <c r="AB92" s="13"/>
    </row>
    <row r="93" spans="1:28" ht="14.25" customHeight="1">
      <c r="A93" s="2">
        <v>11</v>
      </c>
      <c r="B93" s="2">
        <v>2</v>
      </c>
      <c r="C93" s="9" t="s">
        <v>175</v>
      </c>
      <c r="D93" s="9"/>
      <c r="E93" s="9" t="s">
        <v>192</v>
      </c>
      <c r="F93" s="9" t="s">
        <v>216</v>
      </c>
      <c r="G93" s="9" t="s">
        <v>194</v>
      </c>
      <c r="H93" s="9" t="s">
        <v>179</v>
      </c>
      <c r="I93" s="9">
        <v>2000000</v>
      </c>
      <c r="J93" s="9" t="s">
        <v>180</v>
      </c>
      <c r="K93" s="82" t="s">
        <v>218</v>
      </c>
      <c r="L93" s="9"/>
      <c r="M93" s="9"/>
      <c r="N93" s="9"/>
      <c r="O93" s="76"/>
      <c r="P93" s="10">
        <v>72</v>
      </c>
      <c r="Q93" s="9" t="s">
        <v>183</v>
      </c>
      <c r="R93" s="9">
        <v>37</v>
      </c>
      <c r="S93" s="9" t="s">
        <v>184</v>
      </c>
      <c r="T93" s="9">
        <v>5</v>
      </c>
      <c r="U93" s="9" t="s">
        <v>189</v>
      </c>
      <c r="V93" s="9"/>
      <c r="W93" s="9"/>
      <c r="X93" s="9"/>
      <c r="Y93" s="9"/>
      <c r="Z93" s="9"/>
      <c r="AA93" s="9"/>
      <c r="AB93" s="9"/>
    </row>
    <row r="94" spans="1:28" ht="14.25" customHeight="1">
      <c r="A94" s="2">
        <v>11</v>
      </c>
      <c r="B94" s="2">
        <v>3</v>
      </c>
      <c r="C94" s="9" t="s">
        <v>175</v>
      </c>
      <c r="D94" s="9"/>
      <c r="E94" s="9" t="s">
        <v>192</v>
      </c>
      <c r="F94" s="9" t="s">
        <v>216</v>
      </c>
      <c r="G94" s="9" t="s">
        <v>194</v>
      </c>
      <c r="H94" s="9" t="s">
        <v>179</v>
      </c>
      <c r="I94" s="9">
        <v>2000000</v>
      </c>
      <c r="J94" s="9" t="s">
        <v>180</v>
      </c>
      <c r="K94" s="82" t="s">
        <v>219</v>
      </c>
      <c r="L94" s="9"/>
      <c r="M94" s="9"/>
      <c r="N94" s="9"/>
      <c r="O94" s="76"/>
      <c r="P94" s="10">
        <v>72</v>
      </c>
      <c r="Q94" s="9" t="s">
        <v>183</v>
      </c>
      <c r="R94" s="9">
        <v>37</v>
      </c>
      <c r="S94" s="9" t="s">
        <v>184</v>
      </c>
      <c r="T94" s="9">
        <v>5</v>
      </c>
      <c r="U94" s="9" t="s">
        <v>189</v>
      </c>
      <c r="V94" s="9"/>
      <c r="W94" s="9"/>
      <c r="X94" s="9"/>
      <c r="Y94" s="9"/>
      <c r="Z94" s="9"/>
      <c r="AA94" s="9"/>
      <c r="AB94" s="9"/>
    </row>
    <row r="95" spans="1:28" ht="14.25" customHeight="1">
      <c r="A95" s="2">
        <v>11</v>
      </c>
      <c r="B95" s="2">
        <v>4</v>
      </c>
      <c r="C95" s="9" t="s">
        <v>175</v>
      </c>
      <c r="D95" s="9"/>
      <c r="E95" s="9" t="s">
        <v>192</v>
      </c>
      <c r="F95" s="9" t="s">
        <v>216</v>
      </c>
      <c r="G95" s="9" t="s">
        <v>194</v>
      </c>
      <c r="H95" s="9" t="s">
        <v>179</v>
      </c>
      <c r="I95" s="9">
        <v>2000000</v>
      </c>
      <c r="J95" s="9" t="s">
        <v>180</v>
      </c>
      <c r="K95" s="82" t="s">
        <v>219</v>
      </c>
      <c r="L95" s="9"/>
      <c r="M95" s="9"/>
      <c r="N95" s="9"/>
      <c r="O95" s="76"/>
      <c r="P95" s="10">
        <v>72</v>
      </c>
      <c r="Q95" s="9" t="s">
        <v>183</v>
      </c>
      <c r="R95" s="9">
        <v>37</v>
      </c>
      <c r="S95" s="9" t="s">
        <v>184</v>
      </c>
      <c r="T95" s="9">
        <v>5</v>
      </c>
      <c r="U95" s="9" t="s">
        <v>189</v>
      </c>
      <c r="V95" s="9"/>
      <c r="W95" s="9"/>
      <c r="X95" s="9"/>
      <c r="Y95" s="9"/>
      <c r="Z95" s="9"/>
      <c r="AA95" s="9"/>
      <c r="AB95" s="9"/>
    </row>
    <row r="96" spans="1:28" ht="14.25" customHeight="1">
      <c r="A96" s="2">
        <v>11</v>
      </c>
      <c r="B96" s="2">
        <v>5</v>
      </c>
      <c r="C96" s="9" t="s">
        <v>175</v>
      </c>
      <c r="D96" s="9"/>
      <c r="E96" s="9" t="s">
        <v>192</v>
      </c>
      <c r="F96" s="9" t="s">
        <v>216</v>
      </c>
      <c r="G96" s="9" t="s">
        <v>194</v>
      </c>
      <c r="H96" s="9" t="s">
        <v>220</v>
      </c>
      <c r="I96" s="9">
        <v>2000000</v>
      </c>
      <c r="J96" s="9" t="s">
        <v>180</v>
      </c>
      <c r="K96" s="82" t="s">
        <v>188</v>
      </c>
      <c r="L96" s="9"/>
      <c r="M96" s="9"/>
      <c r="N96" s="9"/>
      <c r="O96" s="76"/>
      <c r="P96" s="10">
        <v>72</v>
      </c>
      <c r="Q96" s="9" t="s">
        <v>183</v>
      </c>
      <c r="R96" s="9">
        <v>37</v>
      </c>
      <c r="S96" s="9" t="s">
        <v>184</v>
      </c>
      <c r="T96" s="9">
        <v>5</v>
      </c>
      <c r="U96" s="9" t="s">
        <v>189</v>
      </c>
      <c r="V96" s="9"/>
      <c r="W96" s="9"/>
      <c r="X96" s="9"/>
      <c r="Y96" s="9"/>
      <c r="Z96" s="9"/>
      <c r="AA96" s="9"/>
      <c r="AB96" s="9"/>
    </row>
    <row r="97" spans="1:28" ht="14.25" customHeight="1">
      <c r="A97" s="2">
        <v>11</v>
      </c>
      <c r="B97" s="2">
        <v>6</v>
      </c>
      <c r="C97" s="9" t="s">
        <v>175</v>
      </c>
      <c r="D97" s="9"/>
      <c r="E97" s="9" t="s">
        <v>192</v>
      </c>
      <c r="F97" s="9" t="s">
        <v>216</v>
      </c>
      <c r="G97" s="9" t="s">
        <v>194</v>
      </c>
      <c r="H97" s="9" t="s">
        <v>220</v>
      </c>
      <c r="I97" s="9">
        <v>2000000</v>
      </c>
      <c r="J97" s="9" t="s">
        <v>180</v>
      </c>
      <c r="K97" s="82" t="s">
        <v>188</v>
      </c>
      <c r="L97" s="9"/>
      <c r="M97" s="9"/>
      <c r="N97" s="9"/>
      <c r="O97" s="76"/>
      <c r="P97" s="10">
        <v>72</v>
      </c>
      <c r="Q97" s="9" t="s">
        <v>183</v>
      </c>
      <c r="R97" s="9">
        <v>37</v>
      </c>
      <c r="S97" s="9" t="s">
        <v>184</v>
      </c>
      <c r="T97" s="9">
        <v>5</v>
      </c>
      <c r="U97" s="9" t="s">
        <v>189</v>
      </c>
      <c r="V97" s="9"/>
      <c r="W97" s="9"/>
      <c r="X97" s="9"/>
      <c r="Y97" s="9"/>
      <c r="Z97" s="9"/>
      <c r="AA97" s="9"/>
      <c r="AB97" s="9"/>
    </row>
    <row r="98" spans="1:28" ht="14.25" customHeight="1">
      <c r="A98" s="4">
        <v>12</v>
      </c>
      <c r="B98" s="4">
        <v>1</v>
      </c>
      <c r="C98" s="13"/>
      <c r="D98" s="13"/>
      <c r="E98" s="13" t="s">
        <v>192</v>
      </c>
      <c r="F98" s="13" t="s">
        <v>221</v>
      </c>
      <c r="G98" s="13" t="s">
        <v>178</v>
      </c>
      <c r="H98" s="13"/>
      <c r="I98" s="13">
        <v>50000</v>
      </c>
      <c r="J98" s="13" t="s">
        <v>180</v>
      </c>
      <c r="K98" s="83"/>
      <c r="L98" s="13"/>
      <c r="M98" s="13"/>
      <c r="N98" s="13"/>
      <c r="O98" s="77"/>
      <c r="P98" s="12"/>
      <c r="Q98" s="13"/>
      <c r="R98" s="13">
        <v>37</v>
      </c>
      <c r="S98" s="13" t="s">
        <v>184</v>
      </c>
      <c r="T98" s="13">
        <v>5</v>
      </c>
      <c r="U98" s="13" t="s">
        <v>189</v>
      </c>
      <c r="V98" s="13"/>
      <c r="W98" s="13"/>
      <c r="X98" s="13"/>
      <c r="Y98" s="13"/>
      <c r="Z98" s="13"/>
      <c r="AA98" s="13"/>
      <c r="AB98" s="13"/>
    </row>
    <row r="99" spans="1:28" ht="14.25" customHeight="1">
      <c r="A99" s="2">
        <v>12</v>
      </c>
      <c r="B99" s="2">
        <v>2</v>
      </c>
      <c r="C99" s="9"/>
      <c r="D99" s="9"/>
      <c r="E99" s="9" t="s">
        <v>192</v>
      </c>
      <c r="F99" s="9" t="s">
        <v>221</v>
      </c>
      <c r="G99" s="9" t="s">
        <v>178</v>
      </c>
      <c r="H99" s="9"/>
      <c r="I99" s="9">
        <v>50000</v>
      </c>
      <c r="J99" s="9" t="s">
        <v>180</v>
      </c>
      <c r="K99" s="82"/>
      <c r="L99" s="9"/>
      <c r="M99" s="9"/>
      <c r="N99" s="9"/>
      <c r="O99" s="76"/>
      <c r="P99" s="10"/>
      <c r="Q99" s="9"/>
      <c r="R99" s="9">
        <v>37</v>
      </c>
      <c r="S99" s="9" t="s">
        <v>184</v>
      </c>
      <c r="T99" s="9">
        <v>5</v>
      </c>
      <c r="U99" s="9" t="s">
        <v>189</v>
      </c>
      <c r="V99" s="9"/>
      <c r="W99" s="9"/>
      <c r="X99" s="9"/>
      <c r="Y99" s="9"/>
      <c r="Z99" s="9"/>
      <c r="AA99" s="9"/>
      <c r="AB99" s="9"/>
    </row>
    <row r="100" spans="1:28" ht="14.25" customHeight="1">
      <c r="A100" s="2">
        <v>12</v>
      </c>
      <c r="B100" s="2">
        <v>3</v>
      </c>
      <c r="C100" s="9"/>
      <c r="D100" s="9"/>
      <c r="E100" s="9" t="s">
        <v>192</v>
      </c>
      <c r="F100" s="9" t="s">
        <v>221</v>
      </c>
      <c r="G100" s="9" t="s">
        <v>178</v>
      </c>
      <c r="H100" s="9"/>
      <c r="I100" s="9">
        <v>50000</v>
      </c>
      <c r="J100" s="9" t="s">
        <v>180</v>
      </c>
      <c r="K100" s="82"/>
      <c r="L100" s="9"/>
      <c r="M100" s="9"/>
      <c r="N100" s="9"/>
      <c r="O100" s="76"/>
      <c r="P100" s="10"/>
      <c r="Q100" s="9"/>
      <c r="R100" s="9">
        <v>37</v>
      </c>
      <c r="S100" s="9" t="s">
        <v>184</v>
      </c>
      <c r="T100" s="9">
        <v>5</v>
      </c>
      <c r="U100" s="9" t="s">
        <v>189</v>
      </c>
      <c r="V100" s="9"/>
      <c r="W100" s="9"/>
      <c r="X100" s="9"/>
      <c r="Y100" s="9"/>
      <c r="Z100" s="9"/>
      <c r="AA100" s="9"/>
      <c r="AB100" s="9"/>
    </row>
    <row r="101" spans="1:28" ht="14.25" customHeight="1">
      <c r="A101" s="4">
        <v>13</v>
      </c>
      <c r="B101" s="4">
        <v>1</v>
      </c>
      <c r="C101" s="13"/>
      <c r="D101" s="13"/>
      <c r="E101" s="13" t="s">
        <v>192</v>
      </c>
      <c r="F101" s="13" t="s">
        <v>216</v>
      </c>
      <c r="G101" s="13" t="s">
        <v>194</v>
      </c>
      <c r="H101" s="13" t="s">
        <v>179</v>
      </c>
      <c r="I101" s="13">
        <v>4000</v>
      </c>
      <c r="J101" s="13" t="s">
        <v>180</v>
      </c>
      <c r="K101" s="83" t="s">
        <v>222</v>
      </c>
      <c r="L101" s="13" t="s">
        <v>222</v>
      </c>
      <c r="M101" s="13"/>
      <c r="N101" s="13"/>
      <c r="O101" s="77">
        <v>1</v>
      </c>
      <c r="P101" s="12">
        <v>72</v>
      </c>
      <c r="Q101" s="13" t="s">
        <v>183</v>
      </c>
      <c r="R101" s="13">
        <v>37</v>
      </c>
      <c r="S101" s="13" t="s">
        <v>184</v>
      </c>
      <c r="T101" s="13">
        <v>5</v>
      </c>
      <c r="U101" s="13" t="s">
        <v>189</v>
      </c>
      <c r="V101" s="13"/>
      <c r="W101" s="13"/>
      <c r="X101" s="13"/>
      <c r="Y101" s="13"/>
      <c r="Z101" s="13"/>
      <c r="AA101" s="13"/>
      <c r="AB101" s="13"/>
    </row>
    <row r="102" spans="1:28" ht="14.25" customHeight="1">
      <c r="A102" s="2">
        <v>13</v>
      </c>
      <c r="B102" s="2">
        <v>2</v>
      </c>
      <c r="C102" s="9"/>
      <c r="D102" s="9"/>
      <c r="E102" s="9" t="s">
        <v>192</v>
      </c>
      <c r="F102" s="9" t="s">
        <v>216</v>
      </c>
      <c r="G102" s="9" t="s">
        <v>194</v>
      </c>
      <c r="H102" s="9" t="s">
        <v>179</v>
      </c>
      <c r="I102" s="9">
        <v>4000</v>
      </c>
      <c r="J102" s="9" t="s">
        <v>180</v>
      </c>
      <c r="K102" s="82" t="s">
        <v>222</v>
      </c>
      <c r="L102" s="9" t="s">
        <v>222</v>
      </c>
      <c r="M102" s="9"/>
      <c r="N102" s="9"/>
      <c r="O102" s="76">
        <v>1</v>
      </c>
      <c r="P102" s="10">
        <v>72</v>
      </c>
      <c r="Q102" s="9" t="s">
        <v>183</v>
      </c>
      <c r="R102" s="9">
        <v>37</v>
      </c>
      <c r="S102" s="9" t="s">
        <v>184</v>
      </c>
      <c r="T102" s="9">
        <v>5</v>
      </c>
      <c r="U102" s="9" t="s">
        <v>189</v>
      </c>
      <c r="V102" s="9"/>
      <c r="W102" s="9"/>
      <c r="X102" s="9"/>
      <c r="Y102" s="9"/>
      <c r="Z102" s="9"/>
      <c r="AA102" s="9"/>
      <c r="AB102" s="9"/>
    </row>
    <row r="103" spans="1:28" ht="14.25" customHeight="1">
      <c r="A103" s="2">
        <v>13</v>
      </c>
      <c r="B103" s="2">
        <v>3</v>
      </c>
      <c r="C103" s="9"/>
      <c r="D103" s="9"/>
      <c r="E103" s="9" t="s">
        <v>192</v>
      </c>
      <c r="F103" s="9" t="s">
        <v>216</v>
      </c>
      <c r="G103" s="9" t="s">
        <v>194</v>
      </c>
      <c r="H103" s="9" t="s">
        <v>179</v>
      </c>
      <c r="I103" s="9">
        <v>4000</v>
      </c>
      <c r="J103" s="9" t="s">
        <v>180</v>
      </c>
      <c r="K103" s="82" t="s">
        <v>222</v>
      </c>
      <c r="L103" s="9" t="s">
        <v>222</v>
      </c>
      <c r="M103" s="9"/>
      <c r="N103" s="9"/>
      <c r="O103" s="76">
        <v>2</v>
      </c>
      <c r="P103" s="10">
        <v>72</v>
      </c>
      <c r="Q103" s="9" t="s">
        <v>183</v>
      </c>
      <c r="R103" s="9">
        <v>37</v>
      </c>
      <c r="S103" s="9" t="s">
        <v>184</v>
      </c>
      <c r="T103" s="9">
        <v>5</v>
      </c>
      <c r="U103" s="9" t="s">
        <v>189</v>
      </c>
      <c r="V103" s="9"/>
      <c r="W103" s="9"/>
      <c r="X103" s="9"/>
      <c r="Y103" s="9"/>
      <c r="Z103" s="9"/>
      <c r="AA103" s="9"/>
      <c r="AB103" s="9"/>
    </row>
    <row r="104" spans="1:28" ht="14.25" customHeight="1">
      <c r="A104" s="2">
        <v>13</v>
      </c>
      <c r="B104" s="2">
        <v>4</v>
      </c>
      <c r="C104" s="9"/>
      <c r="D104" s="9"/>
      <c r="E104" s="9" t="s">
        <v>192</v>
      </c>
      <c r="F104" s="9" t="s">
        <v>216</v>
      </c>
      <c r="G104" s="9" t="s">
        <v>194</v>
      </c>
      <c r="H104" s="9" t="s">
        <v>179</v>
      </c>
      <c r="I104" s="9">
        <v>4000</v>
      </c>
      <c r="J104" s="9" t="s">
        <v>180</v>
      </c>
      <c r="K104" s="82" t="s">
        <v>222</v>
      </c>
      <c r="L104" s="9" t="s">
        <v>222</v>
      </c>
      <c r="M104" s="9"/>
      <c r="N104" s="9"/>
      <c r="O104" s="76">
        <v>2</v>
      </c>
      <c r="P104" s="10">
        <v>72</v>
      </c>
      <c r="Q104" s="9" t="s">
        <v>183</v>
      </c>
      <c r="R104" s="9">
        <v>37</v>
      </c>
      <c r="S104" s="9" t="s">
        <v>184</v>
      </c>
      <c r="T104" s="9">
        <v>5</v>
      </c>
      <c r="U104" s="9" t="s">
        <v>189</v>
      </c>
      <c r="V104" s="9"/>
      <c r="W104" s="9"/>
      <c r="X104" s="9"/>
      <c r="Y104" s="9"/>
      <c r="Z104" s="9"/>
      <c r="AA104" s="9"/>
      <c r="AB104" s="9"/>
    </row>
    <row r="105" spans="1:28" ht="14.25" customHeight="1">
      <c r="A105" s="2">
        <v>13</v>
      </c>
      <c r="B105" s="2">
        <v>5</v>
      </c>
      <c r="C105" s="9"/>
      <c r="D105" s="9"/>
      <c r="E105" s="9" t="s">
        <v>192</v>
      </c>
      <c r="F105" s="9" t="s">
        <v>216</v>
      </c>
      <c r="G105" s="9" t="s">
        <v>194</v>
      </c>
      <c r="H105" s="9" t="s">
        <v>179</v>
      </c>
      <c r="I105" s="9">
        <v>4000</v>
      </c>
      <c r="J105" s="9" t="s">
        <v>180</v>
      </c>
      <c r="K105" s="82" t="s">
        <v>222</v>
      </c>
      <c r="L105" s="9" t="s">
        <v>222</v>
      </c>
      <c r="M105" s="9"/>
      <c r="N105" s="9"/>
      <c r="O105" s="76">
        <v>4</v>
      </c>
      <c r="P105" s="10">
        <v>72</v>
      </c>
      <c r="Q105" s="9" t="s">
        <v>183</v>
      </c>
      <c r="R105" s="9">
        <v>37</v>
      </c>
      <c r="S105" s="9" t="s">
        <v>184</v>
      </c>
      <c r="T105" s="9">
        <v>5</v>
      </c>
      <c r="U105" s="9" t="s">
        <v>189</v>
      </c>
      <c r="V105" s="9"/>
      <c r="W105" s="9"/>
      <c r="X105" s="9"/>
      <c r="Y105" s="9"/>
      <c r="Z105" s="9"/>
      <c r="AA105" s="9"/>
      <c r="AB105" s="9"/>
    </row>
    <row r="106" spans="1:28" ht="14.25" customHeight="1">
      <c r="A106" s="2">
        <v>13</v>
      </c>
      <c r="B106" s="2">
        <v>6</v>
      </c>
      <c r="C106" s="9"/>
      <c r="D106" s="9"/>
      <c r="E106" s="9" t="s">
        <v>192</v>
      </c>
      <c r="F106" s="9" t="s">
        <v>216</v>
      </c>
      <c r="G106" s="9" t="s">
        <v>194</v>
      </c>
      <c r="H106" s="9" t="s">
        <v>179</v>
      </c>
      <c r="I106" s="9">
        <v>4000</v>
      </c>
      <c r="J106" s="9" t="s">
        <v>180</v>
      </c>
      <c r="K106" s="82" t="s">
        <v>222</v>
      </c>
      <c r="L106" s="9" t="s">
        <v>222</v>
      </c>
      <c r="M106" s="9"/>
      <c r="N106" s="9"/>
      <c r="O106" s="76">
        <v>4</v>
      </c>
      <c r="P106" s="10">
        <v>72</v>
      </c>
      <c r="Q106" s="9" t="s">
        <v>183</v>
      </c>
      <c r="R106" s="9">
        <v>37</v>
      </c>
      <c r="S106" s="9" t="s">
        <v>184</v>
      </c>
      <c r="T106" s="9">
        <v>5</v>
      </c>
      <c r="U106" s="9" t="s">
        <v>189</v>
      </c>
      <c r="V106" s="9"/>
      <c r="W106" s="9"/>
      <c r="X106" s="9"/>
      <c r="Y106" s="9"/>
      <c r="Z106" s="9"/>
      <c r="AA106" s="9"/>
      <c r="AB106" s="9"/>
    </row>
    <row r="107" spans="1:28" ht="14.25" customHeight="1">
      <c r="A107" s="2">
        <v>13</v>
      </c>
      <c r="B107" s="2">
        <v>7</v>
      </c>
      <c r="C107" s="9"/>
      <c r="D107" s="9"/>
      <c r="E107" s="9" t="s">
        <v>223</v>
      </c>
      <c r="F107" s="9" t="s">
        <v>216</v>
      </c>
      <c r="G107" s="9" t="s">
        <v>194</v>
      </c>
      <c r="H107" s="9" t="s">
        <v>179</v>
      </c>
      <c r="I107" s="9">
        <v>4000</v>
      </c>
      <c r="J107" s="9" t="s">
        <v>180</v>
      </c>
      <c r="K107" s="82" t="s">
        <v>222</v>
      </c>
      <c r="L107" s="9" t="s">
        <v>222</v>
      </c>
      <c r="M107" s="9"/>
      <c r="N107" s="9"/>
      <c r="O107" s="76">
        <v>1</v>
      </c>
      <c r="P107" s="10">
        <v>72</v>
      </c>
      <c r="Q107" s="9" t="s">
        <v>183</v>
      </c>
      <c r="R107" s="9">
        <v>37</v>
      </c>
      <c r="S107" s="9" t="s">
        <v>184</v>
      </c>
      <c r="T107" s="9">
        <v>5</v>
      </c>
      <c r="U107" s="9" t="s">
        <v>189</v>
      </c>
      <c r="V107" s="9"/>
      <c r="W107" s="9"/>
      <c r="X107" s="9"/>
      <c r="Y107" s="9"/>
      <c r="Z107" s="9"/>
      <c r="AA107" s="9"/>
      <c r="AB107" s="9"/>
    </row>
    <row r="108" spans="1:28" ht="14.25" customHeight="1">
      <c r="A108" s="2">
        <v>13</v>
      </c>
      <c r="B108" s="2">
        <v>8</v>
      </c>
      <c r="C108" s="9"/>
      <c r="D108" s="9"/>
      <c r="E108" s="9" t="s">
        <v>223</v>
      </c>
      <c r="F108" s="9" t="s">
        <v>216</v>
      </c>
      <c r="G108" s="9" t="s">
        <v>194</v>
      </c>
      <c r="H108" s="9" t="s">
        <v>179</v>
      </c>
      <c r="I108" s="9">
        <v>4000</v>
      </c>
      <c r="J108" s="9" t="s">
        <v>180</v>
      </c>
      <c r="K108" s="82" t="s">
        <v>222</v>
      </c>
      <c r="L108" s="9" t="s">
        <v>222</v>
      </c>
      <c r="M108" s="9"/>
      <c r="N108" s="9"/>
      <c r="O108" s="76">
        <v>1</v>
      </c>
      <c r="P108" s="10">
        <v>72</v>
      </c>
      <c r="Q108" s="9" t="s">
        <v>183</v>
      </c>
      <c r="R108" s="9">
        <v>37</v>
      </c>
      <c r="S108" s="9" t="s">
        <v>184</v>
      </c>
      <c r="T108" s="9">
        <v>5</v>
      </c>
      <c r="U108" s="9" t="s">
        <v>189</v>
      </c>
      <c r="V108" s="9"/>
      <c r="W108" s="9"/>
      <c r="X108" s="9"/>
      <c r="Y108" s="9"/>
      <c r="Z108" s="9"/>
      <c r="AA108" s="9"/>
      <c r="AB108" s="9"/>
    </row>
    <row r="109" spans="1:28" ht="14.25" customHeight="1">
      <c r="A109" s="2">
        <v>13</v>
      </c>
      <c r="B109" s="2">
        <v>9</v>
      </c>
      <c r="C109" s="9"/>
      <c r="D109" s="9"/>
      <c r="E109" s="9" t="s">
        <v>223</v>
      </c>
      <c r="F109" s="9" t="s">
        <v>216</v>
      </c>
      <c r="G109" s="9" t="s">
        <v>194</v>
      </c>
      <c r="H109" s="9" t="s">
        <v>179</v>
      </c>
      <c r="I109" s="9">
        <v>4000</v>
      </c>
      <c r="J109" s="9" t="s">
        <v>180</v>
      </c>
      <c r="K109" s="82" t="s">
        <v>222</v>
      </c>
      <c r="L109" s="9" t="s">
        <v>222</v>
      </c>
      <c r="M109" s="9"/>
      <c r="N109" s="9"/>
      <c r="O109" s="76">
        <v>2</v>
      </c>
      <c r="P109" s="10">
        <v>72</v>
      </c>
      <c r="Q109" s="9" t="s">
        <v>183</v>
      </c>
      <c r="R109" s="9">
        <v>37</v>
      </c>
      <c r="S109" s="9" t="s">
        <v>184</v>
      </c>
      <c r="T109" s="9">
        <v>5</v>
      </c>
      <c r="U109" s="9" t="s">
        <v>189</v>
      </c>
      <c r="V109" s="9"/>
      <c r="W109" s="9"/>
      <c r="X109" s="9"/>
      <c r="Y109" s="9"/>
      <c r="Z109" s="9"/>
      <c r="AA109" s="9"/>
      <c r="AB109" s="9"/>
    </row>
    <row r="110" spans="1:28" ht="14.25" customHeight="1">
      <c r="A110" s="2">
        <v>13</v>
      </c>
      <c r="B110" s="2">
        <v>10</v>
      </c>
      <c r="C110" s="9"/>
      <c r="D110" s="9"/>
      <c r="E110" s="9" t="s">
        <v>223</v>
      </c>
      <c r="F110" s="9" t="s">
        <v>216</v>
      </c>
      <c r="G110" s="9" t="s">
        <v>194</v>
      </c>
      <c r="H110" s="9" t="s">
        <v>179</v>
      </c>
      <c r="I110" s="9">
        <v>4000</v>
      </c>
      <c r="J110" s="9" t="s">
        <v>180</v>
      </c>
      <c r="K110" s="82" t="s">
        <v>222</v>
      </c>
      <c r="L110" s="9" t="s">
        <v>222</v>
      </c>
      <c r="M110" s="9"/>
      <c r="N110" s="9"/>
      <c r="O110" s="76">
        <v>2</v>
      </c>
      <c r="P110" s="10">
        <v>72</v>
      </c>
      <c r="Q110" s="9" t="s">
        <v>183</v>
      </c>
      <c r="R110" s="9">
        <v>37</v>
      </c>
      <c r="S110" s="9" t="s">
        <v>184</v>
      </c>
      <c r="T110" s="9">
        <v>5</v>
      </c>
      <c r="U110" s="9" t="s">
        <v>189</v>
      </c>
      <c r="V110" s="9"/>
      <c r="W110" s="9"/>
      <c r="X110" s="9"/>
      <c r="Y110" s="9"/>
      <c r="Z110" s="9"/>
      <c r="AA110" s="9"/>
      <c r="AB110" s="9"/>
    </row>
    <row r="111" spans="1:28" ht="14.25" customHeight="1">
      <c r="A111" s="2">
        <v>13</v>
      </c>
      <c r="B111" s="2">
        <v>11</v>
      </c>
      <c r="C111" s="9"/>
      <c r="D111" s="9"/>
      <c r="E111" s="9" t="s">
        <v>223</v>
      </c>
      <c r="F111" s="9" t="s">
        <v>216</v>
      </c>
      <c r="G111" s="9" t="s">
        <v>194</v>
      </c>
      <c r="H111" s="9" t="s">
        <v>179</v>
      </c>
      <c r="I111" s="9">
        <v>4000</v>
      </c>
      <c r="J111" s="9" t="s">
        <v>180</v>
      </c>
      <c r="K111" s="82" t="s">
        <v>222</v>
      </c>
      <c r="L111" s="9" t="s">
        <v>222</v>
      </c>
      <c r="M111" s="9"/>
      <c r="N111" s="9"/>
      <c r="O111" s="76">
        <v>4</v>
      </c>
      <c r="P111" s="10">
        <v>72</v>
      </c>
      <c r="Q111" s="9" t="s">
        <v>183</v>
      </c>
      <c r="R111" s="9">
        <v>37</v>
      </c>
      <c r="S111" s="9" t="s">
        <v>184</v>
      </c>
      <c r="T111" s="9">
        <v>5</v>
      </c>
      <c r="U111" s="9" t="s">
        <v>189</v>
      </c>
      <c r="V111" s="9"/>
      <c r="W111" s="9"/>
      <c r="X111" s="9"/>
      <c r="Y111" s="9"/>
      <c r="Z111" s="9"/>
      <c r="AA111" s="9"/>
      <c r="AB111" s="9"/>
    </row>
    <row r="112" spans="1:28" ht="14.25" customHeight="1">
      <c r="A112" s="2">
        <v>13</v>
      </c>
      <c r="B112" s="2">
        <v>12</v>
      </c>
      <c r="C112" s="9"/>
      <c r="D112" s="9"/>
      <c r="E112" s="9" t="s">
        <v>223</v>
      </c>
      <c r="F112" s="9" t="s">
        <v>216</v>
      </c>
      <c r="G112" s="9" t="s">
        <v>194</v>
      </c>
      <c r="H112" s="9" t="s">
        <v>179</v>
      </c>
      <c r="I112" s="9">
        <v>4000</v>
      </c>
      <c r="J112" s="9" t="s">
        <v>180</v>
      </c>
      <c r="K112" s="82" t="s">
        <v>222</v>
      </c>
      <c r="L112" s="9" t="s">
        <v>222</v>
      </c>
      <c r="M112" s="9"/>
      <c r="N112" s="9"/>
      <c r="O112" s="76">
        <v>4</v>
      </c>
      <c r="P112" s="10">
        <v>72</v>
      </c>
      <c r="Q112" s="9" t="s">
        <v>183</v>
      </c>
      <c r="R112" s="9">
        <v>37</v>
      </c>
      <c r="S112" s="9" t="s">
        <v>184</v>
      </c>
      <c r="T112" s="9">
        <v>5</v>
      </c>
      <c r="U112" s="9" t="s">
        <v>189</v>
      </c>
      <c r="V112" s="9"/>
      <c r="W112" s="9"/>
      <c r="X112" s="9"/>
      <c r="Y112" s="9"/>
      <c r="Z112" s="9"/>
      <c r="AA112" s="9"/>
      <c r="AB112" s="9"/>
    </row>
    <row r="113" spans="1:21" s="23" customFormat="1" ht="15" customHeight="1">
      <c r="A113" s="23">
        <v>14</v>
      </c>
      <c r="B113" s="23">
        <v>1</v>
      </c>
      <c r="C113" s="23" t="s">
        <v>175</v>
      </c>
      <c r="E113" s="23" t="s">
        <v>224</v>
      </c>
      <c r="F113" s="23" t="s">
        <v>225</v>
      </c>
      <c r="G113" s="23" t="s">
        <v>194</v>
      </c>
      <c r="H113" s="23" t="s">
        <v>179</v>
      </c>
      <c r="K113" s="31" t="s">
        <v>226</v>
      </c>
      <c r="L113" s="23" t="s">
        <v>226</v>
      </c>
      <c r="O113" s="78">
        <v>1</v>
      </c>
      <c r="P113" s="23">
        <v>72</v>
      </c>
      <c r="Q113" s="23" t="s">
        <v>183</v>
      </c>
      <c r="R113" s="23">
        <v>37</v>
      </c>
      <c r="S113" s="13" t="s">
        <v>184</v>
      </c>
      <c r="T113" s="23">
        <v>5</v>
      </c>
      <c r="U113" s="23" t="s">
        <v>189</v>
      </c>
    </row>
    <row r="114" spans="1:21" s="23" customFormat="1" ht="15" customHeight="1">
      <c r="A114" s="31">
        <v>15</v>
      </c>
      <c r="B114" s="31">
        <v>1</v>
      </c>
      <c r="E114" s="23" t="s">
        <v>192</v>
      </c>
      <c r="F114" s="23" t="s">
        <v>221</v>
      </c>
      <c r="G114" s="23" t="s">
        <v>178</v>
      </c>
      <c r="H114" s="23" t="s">
        <v>179</v>
      </c>
      <c r="I114" s="23">
        <v>30000</v>
      </c>
      <c r="J114" s="23" t="s">
        <v>180</v>
      </c>
      <c r="K114" s="31" t="s">
        <v>226</v>
      </c>
      <c r="L114" s="23" t="s">
        <v>226</v>
      </c>
      <c r="O114" s="78">
        <v>1</v>
      </c>
      <c r="P114" s="23">
        <v>72</v>
      </c>
      <c r="Q114" s="23" t="s">
        <v>183</v>
      </c>
      <c r="R114" s="23">
        <v>37</v>
      </c>
      <c r="S114" s="13" t="s">
        <v>184</v>
      </c>
      <c r="T114" s="23">
        <v>5</v>
      </c>
      <c r="U114" s="23" t="s">
        <v>189</v>
      </c>
    </row>
    <row r="115" spans="1:21" ht="15" customHeight="1">
      <c r="A115" s="27">
        <v>15</v>
      </c>
      <c r="B115" s="27">
        <v>2</v>
      </c>
      <c r="E115" s="19" t="s">
        <v>192</v>
      </c>
      <c r="F115" s="19" t="s">
        <v>221</v>
      </c>
      <c r="G115" s="19" t="s">
        <v>178</v>
      </c>
      <c r="H115" s="19" t="s">
        <v>179</v>
      </c>
      <c r="I115" s="19">
        <v>30000</v>
      </c>
      <c r="J115" s="19" t="s">
        <v>180</v>
      </c>
      <c r="K115" s="27" t="s">
        <v>226</v>
      </c>
      <c r="L115" s="19" t="s">
        <v>226</v>
      </c>
      <c r="M115" s="16"/>
      <c r="N115" s="16"/>
      <c r="O115" s="79">
        <v>2</v>
      </c>
      <c r="P115" s="19">
        <v>72</v>
      </c>
      <c r="Q115" s="19" t="s">
        <v>183</v>
      </c>
      <c r="R115" s="19">
        <v>37</v>
      </c>
      <c r="S115" s="9" t="s">
        <v>184</v>
      </c>
      <c r="T115" s="19">
        <v>5</v>
      </c>
      <c r="U115" s="19" t="s">
        <v>189</v>
      </c>
    </row>
    <row r="116" spans="1:21" ht="15" customHeight="1">
      <c r="A116" s="27">
        <v>15</v>
      </c>
      <c r="B116" s="27">
        <v>3</v>
      </c>
      <c r="E116" s="19" t="s">
        <v>192</v>
      </c>
      <c r="F116" s="19" t="s">
        <v>221</v>
      </c>
      <c r="G116" s="19" t="s">
        <v>178</v>
      </c>
      <c r="H116" s="19" t="s">
        <v>179</v>
      </c>
      <c r="I116" s="19">
        <v>30000</v>
      </c>
      <c r="J116" s="19" t="s">
        <v>180</v>
      </c>
      <c r="K116" s="27" t="s">
        <v>226</v>
      </c>
      <c r="L116" s="19" t="s">
        <v>226</v>
      </c>
      <c r="M116" s="16"/>
      <c r="N116" s="16"/>
      <c r="O116" s="79">
        <v>4</v>
      </c>
      <c r="P116" s="19">
        <v>72</v>
      </c>
      <c r="Q116" s="19" t="s">
        <v>183</v>
      </c>
      <c r="R116" s="19">
        <v>37</v>
      </c>
      <c r="S116" s="9" t="s">
        <v>184</v>
      </c>
      <c r="T116" s="19">
        <v>5</v>
      </c>
      <c r="U116" s="19" t="s">
        <v>189</v>
      </c>
    </row>
    <row r="117" spans="1:21" ht="15" customHeight="1">
      <c r="A117" s="27">
        <v>15</v>
      </c>
      <c r="B117" s="27">
        <v>4</v>
      </c>
      <c r="E117" s="19" t="s">
        <v>192</v>
      </c>
      <c r="F117" s="19" t="s">
        <v>221</v>
      </c>
      <c r="G117" s="19" t="s">
        <v>178</v>
      </c>
      <c r="H117" s="19" t="s">
        <v>179</v>
      </c>
      <c r="I117" s="19">
        <v>30000</v>
      </c>
      <c r="J117" s="19" t="s">
        <v>180</v>
      </c>
      <c r="K117" s="27" t="s">
        <v>226</v>
      </c>
      <c r="L117" s="19" t="s">
        <v>226</v>
      </c>
      <c r="M117" s="16"/>
      <c r="N117" s="16"/>
      <c r="O117" s="79">
        <v>8</v>
      </c>
      <c r="P117" s="19">
        <v>72</v>
      </c>
      <c r="Q117" s="19" t="s">
        <v>183</v>
      </c>
      <c r="R117" s="19">
        <v>37</v>
      </c>
      <c r="S117" s="9" t="s">
        <v>184</v>
      </c>
      <c r="T117" s="19">
        <v>5</v>
      </c>
      <c r="U117" s="19" t="s">
        <v>189</v>
      </c>
    </row>
    <row r="118" spans="1:21" ht="15" customHeight="1">
      <c r="A118" s="27">
        <v>15</v>
      </c>
      <c r="B118" s="27">
        <v>5</v>
      </c>
      <c r="E118" s="19" t="s">
        <v>192</v>
      </c>
      <c r="F118" s="19" t="s">
        <v>221</v>
      </c>
      <c r="G118" s="19" t="s">
        <v>178</v>
      </c>
      <c r="H118" s="19" t="s">
        <v>179</v>
      </c>
      <c r="I118" s="19">
        <v>30000</v>
      </c>
      <c r="J118" s="19" t="s">
        <v>180</v>
      </c>
      <c r="K118" s="27" t="s">
        <v>226</v>
      </c>
      <c r="L118" s="19" t="s">
        <v>226</v>
      </c>
      <c r="M118" s="16"/>
      <c r="N118" s="16"/>
      <c r="O118" s="79">
        <v>16</v>
      </c>
      <c r="P118" s="19">
        <v>72</v>
      </c>
      <c r="Q118" s="19" t="s">
        <v>183</v>
      </c>
      <c r="R118" s="19">
        <v>37</v>
      </c>
      <c r="S118" s="9" t="s">
        <v>184</v>
      </c>
      <c r="T118" s="19">
        <v>5</v>
      </c>
      <c r="U118" s="19" t="s">
        <v>189</v>
      </c>
    </row>
    <row r="119" spans="1:21" ht="15" customHeight="1">
      <c r="A119" s="27">
        <v>15</v>
      </c>
      <c r="B119" s="27">
        <v>6</v>
      </c>
      <c r="E119" s="19" t="s">
        <v>192</v>
      </c>
      <c r="F119" s="19" t="s">
        <v>221</v>
      </c>
      <c r="G119" s="19" t="s">
        <v>178</v>
      </c>
      <c r="H119" s="19" t="s">
        <v>179</v>
      </c>
      <c r="I119" s="19">
        <v>30000</v>
      </c>
      <c r="J119" s="19" t="s">
        <v>180</v>
      </c>
      <c r="K119" s="27" t="s">
        <v>226</v>
      </c>
      <c r="L119" s="19" t="s">
        <v>226</v>
      </c>
      <c r="M119" s="16"/>
      <c r="N119" s="16"/>
      <c r="O119" s="79">
        <v>32</v>
      </c>
      <c r="P119" s="19">
        <v>72</v>
      </c>
      <c r="Q119" s="19" t="s">
        <v>183</v>
      </c>
      <c r="R119" s="19">
        <v>37</v>
      </c>
      <c r="S119" s="9" t="s">
        <v>184</v>
      </c>
      <c r="T119" s="19">
        <v>5</v>
      </c>
      <c r="U119" s="19" t="s">
        <v>189</v>
      </c>
    </row>
    <row r="120" spans="1:21" ht="15" customHeight="1">
      <c r="A120" s="27">
        <v>15</v>
      </c>
      <c r="B120" s="27">
        <v>7</v>
      </c>
      <c r="E120" s="19" t="s">
        <v>192</v>
      </c>
      <c r="F120" s="19" t="s">
        <v>221</v>
      </c>
      <c r="G120" s="19" t="s">
        <v>178</v>
      </c>
      <c r="H120" s="19" t="s">
        <v>179</v>
      </c>
      <c r="I120" s="19">
        <v>30000</v>
      </c>
      <c r="J120" s="19" t="s">
        <v>180</v>
      </c>
      <c r="K120" s="27" t="s">
        <v>226</v>
      </c>
      <c r="L120" s="19" t="s">
        <v>226</v>
      </c>
      <c r="O120" s="79">
        <v>1</v>
      </c>
      <c r="P120" s="19">
        <v>72</v>
      </c>
      <c r="Q120" s="19" t="s">
        <v>183</v>
      </c>
      <c r="R120" s="19">
        <v>37</v>
      </c>
      <c r="S120" s="9" t="s">
        <v>184</v>
      </c>
      <c r="T120" s="19">
        <v>5</v>
      </c>
      <c r="U120" s="19" t="s">
        <v>189</v>
      </c>
    </row>
    <row r="121" spans="1:21" ht="15" customHeight="1">
      <c r="A121" s="27">
        <v>15</v>
      </c>
      <c r="B121" s="27">
        <v>8</v>
      </c>
      <c r="E121" s="19" t="s">
        <v>192</v>
      </c>
      <c r="F121" s="19" t="s">
        <v>221</v>
      </c>
      <c r="G121" s="19" t="s">
        <v>178</v>
      </c>
      <c r="H121" s="19" t="s">
        <v>179</v>
      </c>
      <c r="I121" s="19">
        <v>30000</v>
      </c>
      <c r="J121" s="19" t="s">
        <v>180</v>
      </c>
      <c r="K121" s="27" t="s">
        <v>226</v>
      </c>
      <c r="L121" s="19" t="s">
        <v>226</v>
      </c>
      <c r="M121" s="16"/>
      <c r="N121" s="16"/>
      <c r="O121" s="79">
        <v>2</v>
      </c>
      <c r="P121" s="19">
        <v>72</v>
      </c>
      <c r="Q121" s="19" t="s">
        <v>183</v>
      </c>
      <c r="R121" s="19">
        <v>37</v>
      </c>
      <c r="S121" s="9" t="s">
        <v>184</v>
      </c>
      <c r="T121" s="19">
        <v>5</v>
      </c>
      <c r="U121" s="19" t="s">
        <v>189</v>
      </c>
    </row>
    <row r="122" spans="1:21" ht="15" customHeight="1">
      <c r="A122" s="27">
        <v>15</v>
      </c>
      <c r="B122" s="27">
        <v>9</v>
      </c>
      <c r="E122" s="19" t="s">
        <v>192</v>
      </c>
      <c r="F122" s="19" t="s">
        <v>221</v>
      </c>
      <c r="G122" s="19" t="s">
        <v>178</v>
      </c>
      <c r="H122" s="19" t="s">
        <v>179</v>
      </c>
      <c r="I122" s="19">
        <v>30000</v>
      </c>
      <c r="J122" s="19" t="s">
        <v>180</v>
      </c>
      <c r="K122" s="27" t="s">
        <v>226</v>
      </c>
      <c r="L122" s="19" t="s">
        <v>226</v>
      </c>
      <c r="M122" s="16"/>
      <c r="N122" s="16"/>
      <c r="O122" s="79">
        <v>4</v>
      </c>
      <c r="P122" s="19">
        <v>72</v>
      </c>
      <c r="Q122" s="19" t="s">
        <v>183</v>
      </c>
      <c r="R122" s="19">
        <v>37</v>
      </c>
      <c r="S122" s="9" t="s">
        <v>184</v>
      </c>
      <c r="T122" s="19">
        <v>5</v>
      </c>
      <c r="U122" s="19" t="s">
        <v>189</v>
      </c>
    </row>
    <row r="123" spans="1:21" ht="15" customHeight="1">
      <c r="A123" s="27">
        <v>15</v>
      </c>
      <c r="B123" s="27">
        <v>10</v>
      </c>
      <c r="E123" s="19" t="s">
        <v>192</v>
      </c>
      <c r="F123" s="19" t="s">
        <v>221</v>
      </c>
      <c r="G123" s="19" t="s">
        <v>178</v>
      </c>
      <c r="H123" s="19" t="s">
        <v>179</v>
      </c>
      <c r="I123" s="19">
        <v>30000</v>
      </c>
      <c r="J123" s="19" t="s">
        <v>180</v>
      </c>
      <c r="K123" s="27" t="s">
        <v>226</v>
      </c>
      <c r="L123" s="19" t="s">
        <v>226</v>
      </c>
      <c r="M123" s="16"/>
      <c r="N123" s="16"/>
      <c r="O123" s="79">
        <v>8</v>
      </c>
      <c r="P123" s="19">
        <v>72</v>
      </c>
      <c r="Q123" s="19" t="s">
        <v>183</v>
      </c>
      <c r="R123" s="19">
        <v>37</v>
      </c>
      <c r="S123" s="9" t="s">
        <v>184</v>
      </c>
      <c r="T123" s="19">
        <v>5</v>
      </c>
      <c r="U123" s="19" t="s">
        <v>189</v>
      </c>
    </row>
    <row r="124" spans="1:21" ht="15" customHeight="1">
      <c r="A124" s="27">
        <v>15</v>
      </c>
      <c r="B124" s="27">
        <v>11</v>
      </c>
      <c r="E124" s="19" t="s">
        <v>192</v>
      </c>
      <c r="F124" s="19" t="s">
        <v>221</v>
      </c>
      <c r="G124" s="19" t="s">
        <v>178</v>
      </c>
      <c r="H124" s="19" t="s">
        <v>179</v>
      </c>
      <c r="I124" s="19">
        <v>30000</v>
      </c>
      <c r="J124" s="19" t="s">
        <v>180</v>
      </c>
      <c r="K124" s="27" t="s">
        <v>226</v>
      </c>
      <c r="L124" s="19" t="s">
        <v>226</v>
      </c>
      <c r="M124" s="16"/>
      <c r="N124" s="16"/>
      <c r="O124" s="79">
        <v>16</v>
      </c>
      <c r="P124" s="19">
        <v>72</v>
      </c>
      <c r="Q124" s="19" t="s">
        <v>183</v>
      </c>
      <c r="R124" s="19">
        <v>37</v>
      </c>
      <c r="S124" s="9" t="s">
        <v>184</v>
      </c>
      <c r="T124" s="19">
        <v>5</v>
      </c>
      <c r="U124" s="19" t="s">
        <v>189</v>
      </c>
    </row>
    <row r="125" spans="1:21" ht="15" customHeight="1">
      <c r="A125" s="27">
        <v>15</v>
      </c>
      <c r="B125" s="27">
        <v>12</v>
      </c>
      <c r="E125" s="19" t="s">
        <v>192</v>
      </c>
      <c r="F125" s="19" t="s">
        <v>221</v>
      </c>
      <c r="G125" s="19" t="s">
        <v>178</v>
      </c>
      <c r="H125" s="19" t="s">
        <v>179</v>
      </c>
      <c r="I125" s="19">
        <v>30000</v>
      </c>
      <c r="J125" s="19" t="s">
        <v>180</v>
      </c>
      <c r="K125" s="27" t="s">
        <v>226</v>
      </c>
      <c r="L125" s="19" t="s">
        <v>226</v>
      </c>
      <c r="M125" s="16"/>
      <c r="N125" s="16"/>
      <c r="O125" s="79">
        <v>32</v>
      </c>
      <c r="P125" s="19">
        <v>72</v>
      </c>
      <c r="Q125" s="19" t="s">
        <v>183</v>
      </c>
      <c r="R125" s="19">
        <v>37</v>
      </c>
      <c r="S125" s="9" t="s">
        <v>184</v>
      </c>
      <c r="T125" s="19">
        <v>5</v>
      </c>
      <c r="U125" s="19" t="s">
        <v>189</v>
      </c>
    </row>
    <row r="126" spans="1:21" s="18" customFormat="1" ht="15" customHeight="1">
      <c r="A126" s="41">
        <v>16</v>
      </c>
      <c r="B126" s="41">
        <v>1</v>
      </c>
      <c r="E126" s="42" t="s">
        <v>192</v>
      </c>
      <c r="F126" s="42" t="s">
        <v>227</v>
      </c>
      <c r="G126" s="18" t="s">
        <v>178</v>
      </c>
      <c r="H126" s="42" t="s">
        <v>179</v>
      </c>
      <c r="I126" s="18">
        <v>25000</v>
      </c>
      <c r="J126" s="42" t="s">
        <v>180</v>
      </c>
      <c r="K126" s="84" t="s">
        <v>228</v>
      </c>
      <c r="O126" s="80"/>
    </row>
    <row r="127" spans="1:21" ht="15" customHeight="1">
      <c r="A127" s="27">
        <v>16</v>
      </c>
      <c r="B127" s="27">
        <v>2</v>
      </c>
      <c r="E127" s="38" t="s">
        <v>192</v>
      </c>
      <c r="F127" s="38" t="s">
        <v>227</v>
      </c>
      <c r="G127" s="19" t="s">
        <v>178</v>
      </c>
      <c r="H127" s="38" t="s">
        <v>179</v>
      </c>
      <c r="I127" s="19">
        <v>25000</v>
      </c>
      <c r="J127" s="38" t="s">
        <v>180</v>
      </c>
      <c r="K127" s="27" t="s">
        <v>228</v>
      </c>
    </row>
    <row r="128" spans="1:21" ht="15" customHeight="1">
      <c r="A128" s="27">
        <v>16</v>
      </c>
      <c r="B128" s="27">
        <v>3</v>
      </c>
      <c r="E128" s="38" t="s">
        <v>192</v>
      </c>
      <c r="F128" s="38" t="s">
        <v>227</v>
      </c>
      <c r="G128" s="19" t="s">
        <v>178</v>
      </c>
      <c r="H128" s="38" t="s">
        <v>179</v>
      </c>
      <c r="I128" s="19">
        <v>25000</v>
      </c>
      <c r="J128" s="38" t="s">
        <v>180</v>
      </c>
      <c r="K128" s="27" t="s">
        <v>228</v>
      </c>
    </row>
    <row r="129" spans="1:21" ht="15" customHeight="1">
      <c r="A129" s="27">
        <v>16</v>
      </c>
      <c r="B129" s="27">
        <v>4</v>
      </c>
      <c r="E129" s="38" t="s">
        <v>192</v>
      </c>
      <c r="F129" s="38" t="s">
        <v>227</v>
      </c>
      <c r="G129" s="19" t="s">
        <v>178</v>
      </c>
      <c r="H129" s="38" t="s">
        <v>179</v>
      </c>
      <c r="I129" s="19">
        <v>25000</v>
      </c>
      <c r="J129" s="38" t="s">
        <v>180</v>
      </c>
      <c r="K129" s="27" t="s">
        <v>228</v>
      </c>
    </row>
    <row r="130" spans="1:21" ht="15" customHeight="1">
      <c r="A130" s="27">
        <v>16</v>
      </c>
      <c r="B130" s="27">
        <v>5</v>
      </c>
      <c r="E130" s="38" t="s">
        <v>192</v>
      </c>
      <c r="F130" s="38" t="s">
        <v>227</v>
      </c>
      <c r="G130" s="19" t="s">
        <v>178</v>
      </c>
      <c r="H130" s="38" t="s">
        <v>179</v>
      </c>
      <c r="I130" s="19">
        <v>25000</v>
      </c>
      <c r="J130" s="38" t="s">
        <v>180</v>
      </c>
      <c r="K130" s="27" t="s">
        <v>228</v>
      </c>
    </row>
    <row r="131" spans="1:21" ht="15" customHeight="1">
      <c r="A131" s="27">
        <v>16</v>
      </c>
      <c r="B131" s="27">
        <v>6</v>
      </c>
      <c r="E131" s="38" t="s">
        <v>192</v>
      </c>
      <c r="F131" s="38" t="s">
        <v>227</v>
      </c>
      <c r="G131" s="19" t="s">
        <v>178</v>
      </c>
      <c r="H131" s="38" t="s">
        <v>179</v>
      </c>
      <c r="I131" s="19">
        <v>25000</v>
      </c>
      <c r="J131" s="38" t="s">
        <v>180</v>
      </c>
      <c r="K131" s="27" t="s">
        <v>228</v>
      </c>
    </row>
    <row r="132" spans="1:21" ht="15" customHeight="1">
      <c r="A132" s="27">
        <v>16</v>
      </c>
      <c r="B132" s="27">
        <v>7</v>
      </c>
      <c r="E132" s="38" t="s">
        <v>192</v>
      </c>
      <c r="F132" s="38" t="s">
        <v>227</v>
      </c>
      <c r="G132" s="19" t="s">
        <v>178</v>
      </c>
      <c r="H132" s="38" t="s">
        <v>179</v>
      </c>
      <c r="I132" s="19">
        <v>25000</v>
      </c>
      <c r="J132" s="38" t="s">
        <v>180</v>
      </c>
      <c r="K132" s="27" t="s">
        <v>228</v>
      </c>
    </row>
    <row r="133" spans="1:21" ht="15" customHeight="1">
      <c r="A133" s="27">
        <v>16</v>
      </c>
      <c r="B133" s="27">
        <v>8</v>
      </c>
      <c r="E133" s="38" t="s">
        <v>229</v>
      </c>
      <c r="F133" s="38" t="s">
        <v>230</v>
      </c>
      <c r="G133" s="19" t="s">
        <v>178</v>
      </c>
      <c r="H133" s="38" t="s">
        <v>179</v>
      </c>
      <c r="I133" s="19">
        <v>25000</v>
      </c>
      <c r="J133" s="38" t="s">
        <v>180</v>
      </c>
      <c r="K133" s="27" t="s">
        <v>228</v>
      </c>
    </row>
    <row r="134" spans="1:21" ht="15" customHeight="1">
      <c r="A134" s="27">
        <v>16</v>
      </c>
      <c r="B134" s="27">
        <v>9</v>
      </c>
      <c r="E134" s="38" t="s">
        <v>229</v>
      </c>
      <c r="F134" s="38" t="s">
        <v>230</v>
      </c>
      <c r="G134" s="19" t="s">
        <v>178</v>
      </c>
      <c r="H134" s="38" t="s">
        <v>179</v>
      </c>
      <c r="I134" s="19">
        <v>25000</v>
      </c>
      <c r="J134" s="38" t="s">
        <v>180</v>
      </c>
      <c r="K134" s="27" t="s">
        <v>228</v>
      </c>
    </row>
    <row r="135" spans="1:21" ht="15" customHeight="1">
      <c r="A135" s="27">
        <v>16</v>
      </c>
      <c r="B135" s="27">
        <v>10</v>
      </c>
      <c r="E135" s="38" t="s">
        <v>229</v>
      </c>
      <c r="F135" s="38" t="s">
        <v>230</v>
      </c>
      <c r="G135" s="19" t="s">
        <v>178</v>
      </c>
      <c r="H135" s="38" t="s">
        <v>179</v>
      </c>
      <c r="I135" s="19">
        <v>25000</v>
      </c>
      <c r="J135" s="38" t="s">
        <v>180</v>
      </c>
      <c r="K135" s="27" t="s">
        <v>228</v>
      </c>
    </row>
    <row r="136" spans="1:21" ht="15" customHeight="1">
      <c r="A136" s="27">
        <v>16</v>
      </c>
      <c r="B136" s="27">
        <v>11</v>
      </c>
      <c r="E136" s="38" t="s">
        <v>229</v>
      </c>
      <c r="F136" s="38" t="s">
        <v>230</v>
      </c>
      <c r="G136" s="19" t="s">
        <v>178</v>
      </c>
      <c r="H136" s="38" t="s">
        <v>179</v>
      </c>
      <c r="I136" s="19">
        <v>25000</v>
      </c>
      <c r="J136" s="38" t="s">
        <v>180</v>
      </c>
      <c r="K136" s="27" t="s">
        <v>228</v>
      </c>
    </row>
    <row r="137" spans="1:21" ht="15" customHeight="1">
      <c r="A137" s="27">
        <v>16</v>
      </c>
      <c r="B137" s="27">
        <v>12</v>
      </c>
      <c r="E137" s="38" t="s">
        <v>229</v>
      </c>
      <c r="F137" s="38" t="s">
        <v>230</v>
      </c>
      <c r="G137" s="19" t="s">
        <v>178</v>
      </c>
      <c r="H137" s="38" t="s">
        <v>179</v>
      </c>
      <c r="I137" s="19">
        <v>25000</v>
      </c>
      <c r="J137" s="38" t="s">
        <v>180</v>
      </c>
      <c r="K137" s="27" t="s">
        <v>228</v>
      </c>
    </row>
    <row r="138" spans="1:21" ht="15" customHeight="1">
      <c r="A138" s="27">
        <v>16</v>
      </c>
      <c r="B138" s="27">
        <v>13</v>
      </c>
      <c r="E138" s="38" t="s">
        <v>229</v>
      </c>
      <c r="F138" s="38" t="s">
        <v>230</v>
      </c>
      <c r="G138" s="19" t="s">
        <v>178</v>
      </c>
      <c r="H138" s="38" t="s">
        <v>179</v>
      </c>
      <c r="I138" s="19">
        <v>25000</v>
      </c>
      <c r="J138" s="38" t="s">
        <v>180</v>
      </c>
      <c r="K138" s="27" t="s">
        <v>228</v>
      </c>
    </row>
    <row r="139" spans="1:21" ht="15" customHeight="1">
      <c r="A139" s="27">
        <v>16</v>
      </c>
      <c r="B139" s="27">
        <v>14</v>
      </c>
      <c r="E139" s="38" t="s">
        <v>229</v>
      </c>
      <c r="F139" s="38" t="s">
        <v>230</v>
      </c>
      <c r="G139" s="19" t="s">
        <v>178</v>
      </c>
      <c r="H139" s="38" t="s">
        <v>179</v>
      </c>
      <c r="I139" s="19">
        <v>25000</v>
      </c>
      <c r="J139" s="38" t="s">
        <v>180</v>
      </c>
      <c r="K139" s="27" t="s">
        <v>228</v>
      </c>
    </row>
    <row r="140" spans="1:21" s="18" customFormat="1" ht="15" customHeight="1">
      <c r="A140" s="31">
        <v>17</v>
      </c>
      <c r="B140" s="31">
        <v>1</v>
      </c>
      <c r="E140" s="18" t="s">
        <v>192</v>
      </c>
      <c r="F140" s="18" t="s">
        <v>231</v>
      </c>
      <c r="G140" s="18" t="s">
        <v>194</v>
      </c>
      <c r="H140" s="18" t="s">
        <v>179</v>
      </c>
      <c r="I140" s="18">
        <v>5000</v>
      </c>
      <c r="J140" s="18" t="s">
        <v>180</v>
      </c>
      <c r="K140" s="41" t="s">
        <v>232</v>
      </c>
      <c r="L140" s="18" t="s">
        <v>232</v>
      </c>
      <c r="O140" s="80">
        <v>1</v>
      </c>
      <c r="P140" s="18">
        <v>48</v>
      </c>
      <c r="Q140" s="18" t="s">
        <v>183</v>
      </c>
      <c r="R140" s="18">
        <v>37</v>
      </c>
      <c r="S140" s="18" t="s">
        <v>184</v>
      </c>
      <c r="T140" s="18">
        <v>5</v>
      </c>
      <c r="U140" s="18" t="s">
        <v>189</v>
      </c>
    </row>
    <row r="141" spans="1:21" ht="15" customHeight="1">
      <c r="A141" s="27">
        <v>17</v>
      </c>
      <c r="B141" s="27">
        <v>2</v>
      </c>
      <c r="E141" s="19" t="s">
        <v>192</v>
      </c>
      <c r="F141" s="19" t="s">
        <v>231</v>
      </c>
      <c r="G141" s="19" t="s">
        <v>194</v>
      </c>
      <c r="H141" s="19" t="s">
        <v>179</v>
      </c>
      <c r="I141" s="19">
        <v>5000</v>
      </c>
      <c r="J141" s="19" t="s">
        <v>180</v>
      </c>
      <c r="K141" s="27" t="s">
        <v>232</v>
      </c>
      <c r="L141" s="19" t="s">
        <v>232</v>
      </c>
      <c r="O141" s="79">
        <v>1</v>
      </c>
      <c r="P141" s="19">
        <v>48</v>
      </c>
      <c r="Q141" s="19" t="s">
        <v>183</v>
      </c>
      <c r="R141" s="19">
        <v>37</v>
      </c>
      <c r="S141" s="19" t="s">
        <v>184</v>
      </c>
      <c r="T141" s="19">
        <v>5</v>
      </c>
      <c r="U141" s="19" t="s">
        <v>189</v>
      </c>
    </row>
    <row r="142" spans="1:21" ht="15" customHeight="1">
      <c r="A142" s="27">
        <v>17</v>
      </c>
      <c r="B142" s="27">
        <v>3</v>
      </c>
      <c r="E142" s="19" t="s">
        <v>192</v>
      </c>
      <c r="F142" s="19" t="s">
        <v>231</v>
      </c>
      <c r="G142" s="19" t="s">
        <v>194</v>
      </c>
      <c r="H142" s="19" t="s">
        <v>179</v>
      </c>
      <c r="I142" s="19">
        <v>5000</v>
      </c>
      <c r="J142" s="19" t="s">
        <v>180</v>
      </c>
      <c r="K142" s="27" t="s">
        <v>232</v>
      </c>
      <c r="L142" s="19" t="s">
        <v>232</v>
      </c>
      <c r="O142" s="79">
        <v>1</v>
      </c>
      <c r="P142" s="19">
        <v>48</v>
      </c>
      <c r="Q142" s="19" t="s">
        <v>183</v>
      </c>
      <c r="R142" s="19">
        <v>37</v>
      </c>
      <c r="S142" s="19" t="s">
        <v>184</v>
      </c>
      <c r="T142" s="19">
        <v>5</v>
      </c>
      <c r="U142" s="19" t="s">
        <v>189</v>
      </c>
    </row>
    <row r="143" spans="1:21" ht="15" customHeight="1">
      <c r="A143" s="27">
        <v>17</v>
      </c>
      <c r="B143" s="27">
        <v>4</v>
      </c>
      <c r="E143" s="19" t="s">
        <v>192</v>
      </c>
      <c r="F143" s="19" t="s">
        <v>231</v>
      </c>
      <c r="G143" s="19" t="s">
        <v>194</v>
      </c>
      <c r="H143" s="19" t="s">
        <v>179</v>
      </c>
      <c r="I143" s="19">
        <v>5000</v>
      </c>
      <c r="J143" s="19" t="s">
        <v>180</v>
      </c>
      <c r="K143" s="27" t="s">
        <v>232</v>
      </c>
      <c r="L143" s="19" t="s">
        <v>232</v>
      </c>
      <c r="O143" s="79">
        <v>2</v>
      </c>
      <c r="P143" s="19">
        <v>48</v>
      </c>
      <c r="Q143" s="19" t="s">
        <v>183</v>
      </c>
      <c r="R143" s="19">
        <v>37</v>
      </c>
      <c r="S143" s="19" t="s">
        <v>184</v>
      </c>
      <c r="T143" s="19">
        <v>5</v>
      </c>
      <c r="U143" s="19" t="s">
        <v>189</v>
      </c>
    </row>
    <row r="144" spans="1:21" ht="15" customHeight="1">
      <c r="A144" s="27">
        <v>17</v>
      </c>
      <c r="B144" s="27">
        <v>5</v>
      </c>
      <c r="E144" s="19" t="s">
        <v>192</v>
      </c>
      <c r="F144" s="19" t="s">
        <v>231</v>
      </c>
      <c r="G144" s="19" t="s">
        <v>194</v>
      </c>
      <c r="H144" s="19" t="s">
        <v>179</v>
      </c>
      <c r="I144" s="19">
        <v>5000</v>
      </c>
      <c r="J144" s="19" t="s">
        <v>180</v>
      </c>
      <c r="K144" s="27" t="s">
        <v>232</v>
      </c>
      <c r="L144" s="19" t="s">
        <v>232</v>
      </c>
      <c r="O144" s="79">
        <v>2</v>
      </c>
      <c r="P144" s="19">
        <v>48</v>
      </c>
      <c r="Q144" s="19" t="s">
        <v>183</v>
      </c>
      <c r="R144" s="19">
        <v>37</v>
      </c>
      <c r="S144" s="19" t="s">
        <v>184</v>
      </c>
      <c r="T144" s="19">
        <v>5</v>
      </c>
      <c r="U144" s="19" t="s">
        <v>189</v>
      </c>
    </row>
    <row r="145" spans="1:21" ht="15" customHeight="1">
      <c r="A145" s="27">
        <v>17</v>
      </c>
      <c r="B145" s="27">
        <v>6</v>
      </c>
      <c r="E145" s="19" t="s">
        <v>192</v>
      </c>
      <c r="F145" s="19" t="s">
        <v>231</v>
      </c>
      <c r="G145" s="19" t="s">
        <v>194</v>
      </c>
      <c r="H145" s="19" t="s">
        <v>179</v>
      </c>
      <c r="I145" s="19">
        <v>5000</v>
      </c>
      <c r="J145" s="19" t="s">
        <v>180</v>
      </c>
      <c r="K145" s="27" t="s">
        <v>232</v>
      </c>
      <c r="L145" s="19" t="s">
        <v>232</v>
      </c>
      <c r="O145" s="79">
        <v>2</v>
      </c>
      <c r="P145" s="19">
        <v>48</v>
      </c>
      <c r="Q145" s="19" t="s">
        <v>183</v>
      </c>
      <c r="R145" s="19">
        <v>37</v>
      </c>
      <c r="S145" s="19" t="s">
        <v>184</v>
      </c>
      <c r="T145" s="19">
        <v>5</v>
      </c>
      <c r="U145" s="19" t="s">
        <v>189</v>
      </c>
    </row>
    <row r="146" spans="1:21" ht="15" customHeight="1">
      <c r="A146" s="27">
        <v>17</v>
      </c>
      <c r="B146" s="27">
        <v>7</v>
      </c>
      <c r="E146" s="19" t="s">
        <v>192</v>
      </c>
      <c r="F146" s="19" t="s">
        <v>231</v>
      </c>
      <c r="G146" s="19" t="s">
        <v>194</v>
      </c>
      <c r="H146" s="19" t="s">
        <v>179</v>
      </c>
      <c r="I146" s="19">
        <v>5000</v>
      </c>
      <c r="J146" s="19" t="s">
        <v>180</v>
      </c>
      <c r="K146" s="27" t="s">
        <v>232</v>
      </c>
      <c r="L146" s="19" t="s">
        <v>232</v>
      </c>
      <c r="O146" s="79">
        <v>10</v>
      </c>
      <c r="P146" s="19">
        <v>48</v>
      </c>
      <c r="Q146" s="19" t="s">
        <v>183</v>
      </c>
      <c r="R146" s="19">
        <v>37</v>
      </c>
      <c r="S146" s="19" t="s">
        <v>184</v>
      </c>
      <c r="T146" s="19">
        <v>5</v>
      </c>
      <c r="U146" s="19" t="s">
        <v>189</v>
      </c>
    </row>
    <row r="147" spans="1:21" ht="15" customHeight="1">
      <c r="A147" s="27">
        <v>17</v>
      </c>
      <c r="B147" s="27">
        <v>8</v>
      </c>
      <c r="E147" s="19" t="s">
        <v>192</v>
      </c>
      <c r="F147" s="19" t="s">
        <v>231</v>
      </c>
      <c r="G147" s="19" t="s">
        <v>194</v>
      </c>
      <c r="H147" s="19" t="s">
        <v>179</v>
      </c>
      <c r="I147" s="19">
        <v>5000</v>
      </c>
      <c r="J147" s="19" t="s">
        <v>180</v>
      </c>
      <c r="K147" s="27" t="s">
        <v>232</v>
      </c>
      <c r="L147" s="19" t="s">
        <v>232</v>
      </c>
      <c r="O147" s="79">
        <v>10</v>
      </c>
      <c r="P147" s="19">
        <v>48</v>
      </c>
      <c r="Q147" s="19" t="s">
        <v>183</v>
      </c>
      <c r="R147" s="19">
        <v>37</v>
      </c>
      <c r="S147" s="19" t="s">
        <v>184</v>
      </c>
      <c r="T147" s="19">
        <v>5</v>
      </c>
      <c r="U147" s="19" t="s">
        <v>189</v>
      </c>
    </row>
    <row r="148" spans="1:21" ht="15" customHeight="1">
      <c r="A148" s="27">
        <v>17</v>
      </c>
      <c r="B148" s="27">
        <v>9</v>
      </c>
      <c r="E148" s="19" t="s">
        <v>192</v>
      </c>
      <c r="F148" s="19" t="s">
        <v>231</v>
      </c>
      <c r="G148" s="19" t="s">
        <v>194</v>
      </c>
      <c r="H148" s="19" t="s">
        <v>179</v>
      </c>
      <c r="I148" s="19">
        <v>5000</v>
      </c>
      <c r="J148" s="19" t="s">
        <v>180</v>
      </c>
      <c r="K148" s="27" t="s">
        <v>232</v>
      </c>
      <c r="L148" s="19" t="s">
        <v>232</v>
      </c>
      <c r="O148" s="79">
        <v>10</v>
      </c>
      <c r="P148" s="19">
        <v>48</v>
      </c>
      <c r="Q148" s="19" t="s">
        <v>183</v>
      </c>
      <c r="R148" s="19">
        <v>37</v>
      </c>
      <c r="S148" s="19" t="s">
        <v>184</v>
      </c>
      <c r="T148" s="19">
        <v>5</v>
      </c>
      <c r="U148" s="19" t="s">
        <v>189</v>
      </c>
    </row>
    <row r="149" spans="1:21" s="18" customFormat="1" ht="15" customHeight="1">
      <c r="A149" s="41">
        <v>18</v>
      </c>
      <c r="B149" s="41">
        <v>1</v>
      </c>
      <c r="E149" s="18" t="s">
        <v>192</v>
      </c>
      <c r="F149" s="18" t="s">
        <v>233</v>
      </c>
      <c r="G149" s="18" t="s">
        <v>178</v>
      </c>
      <c r="K149" s="41"/>
      <c r="M149" s="18">
        <v>55</v>
      </c>
      <c r="N149" s="18" t="s">
        <v>234</v>
      </c>
      <c r="O149" s="80"/>
      <c r="P149" s="18">
        <v>24</v>
      </c>
      <c r="Q149" s="18" t="s">
        <v>183</v>
      </c>
      <c r="R149" s="18">
        <v>37</v>
      </c>
      <c r="S149" s="13" t="s">
        <v>184</v>
      </c>
      <c r="T149" s="18">
        <v>5</v>
      </c>
    </row>
    <row r="150" spans="1:21" ht="15" customHeight="1">
      <c r="A150" s="27">
        <v>18</v>
      </c>
      <c r="B150" s="27">
        <v>2</v>
      </c>
      <c r="E150" s="19" t="s">
        <v>192</v>
      </c>
      <c r="F150" s="19" t="s">
        <v>233</v>
      </c>
      <c r="G150" s="19" t="s">
        <v>178</v>
      </c>
      <c r="M150" s="19">
        <v>55</v>
      </c>
      <c r="N150" s="19" t="s">
        <v>234</v>
      </c>
      <c r="P150" s="19">
        <v>48</v>
      </c>
      <c r="Q150" s="19" t="s">
        <v>183</v>
      </c>
      <c r="R150" s="19">
        <v>37</v>
      </c>
      <c r="S150" s="9" t="s">
        <v>184</v>
      </c>
      <c r="T150" s="19">
        <v>5</v>
      </c>
    </row>
    <row r="151" spans="1:21" ht="15" customHeight="1">
      <c r="A151" s="27">
        <v>18</v>
      </c>
      <c r="B151" s="27">
        <v>3</v>
      </c>
      <c r="E151" s="19" t="s">
        <v>192</v>
      </c>
      <c r="F151" s="19" t="s">
        <v>233</v>
      </c>
      <c r="G151" s="19" t="s">
        <v>178</v>
      </c>
      <c r="M151" s="19">
        <v>27.5</v>
      </c>
      <c r="N151" s="19" t="s">
        <v>234</v>
      </c>
      <c r="P151" s="19">
        <v>336</v>
      </c>
      <c r="Q151" s="19" t="s">
        <v>183</v>
      </c>
      <c r="R151" s="19">
        <v>37</v>
      </c>
      <c r="S151" s="9" t="s">
        <v>184</v>
      </c>
      <c r="T151" s="19">
        <v>5</v>
      </c>
    </row>
    <row r="152" spans="1:21" ht="15" customHeight="1">
      <c r="A152" s="27">
        <v>18</v>
      </c>
      <c r="B152" s="27">
        <v>4</v>
      </c>
      <c r="E152" s="19" t="s">
        <v>192</v>
      </c>
      <c r="F152" s="19" t="s">
        <v>235</v>
      </c>
      <c r="G152" s="19" t="s">
        <v>178</v>
      </c>
      <c r="M152" s="19">
        <v>55</v>
      </c>
      <c r="N152" s="19" t="s">
        <v>234</v>
      </c>
      <c r="P152" s="19">
        <v>24</v>
      </c>
      <c r="Q152" s="19" t="s">
        <v>183</v>
      </c>
      <c r="R152" s="19">
        <v>37</v>
      </c>
      <c r="S152" s="9" t="s">
        <v>184</v>
      </c>
      <c r="T152" s="19">
        <v>5</v>
      </c>
    </row>
    <row r="153" spans="1:21" ht="15" customHeight="1">
      <c r="A153" s="27">
        <v>18</v>
      </c>
      <c r="B153" s="27">
        <v>5</v>
      </c>
      <c r="E153" s="19" t="s">
        <v>192</v>
      </c>
      <c r="F153" s="19" t="s">
        <v>235</v>
      </c>
      <c r="G153" s="19" t="s">
        <v>178</v>
      </c>
      <c r="M153" s="19">
        <v>55</v>
      </c>
      <c r="N153" s="19" t="s">
        <v>234</v>
      </c>
      <c r="P153" s="19">
        <v>48</v>
      </c>
      <c r="Q153" s="19" t="s">
        <v>183</v>
      </c>
      <c r="R153" s="19">
        <v>37</v>
      </c>
      <c r="S153" s="9" t="s">
        <v>184</v>
      </c>
      <c r="T153" s="19">
        <v>5</v>
      </c>
    </row>
    <row r="154" spans="1:21" ht="15" customHeight="1">
      <c r="A154" s="27">
        <v>18</v>
      </c>
      <c r="B154" s="27">
        <v>6</v>
      </c>
      <c r="E154" s="19" t="s">
        <v>192</v>
      </c>
      <c r="F154" s="19" t="s">
        <v>235</v>
      </c>
      <c r="G154" s="19" t="s">
        <v>178</v>
      </c>
      <c r="M154" s="19">
        <v>27.5</v>
      </c>
      <c r="N154" s="19" t="s">
        <v>234</v>
      </c>
      <c r="P154" s="19">
        <v>336</v>
      </c>
      <c r="Q154" s="19" t="s">
        <v>183</v>
      </c>
      <c r="R154" s="19">
        <v>37</v>
      </c>
      <c r="S154" s="9" t="s">
        <v>184</v>
      </c>
      <c r="T154" s="19">
        <v>5</v>
      </c>
    </row>
    <row r="155" spans="1:21" ht="15" customHeight="1">
      <c r="A155" s="27">
        <v>18</v>
      </c>
      <c r="B155" s="27">
        <v>7</v>
      </c>
      <c r="E155" s="19" t="s">
        <v>192</v>
      </c>
      <c r="F155" s="19" t="s">
        <v>236</v>
      </c>
      <c r="G155" s="19" t="s">
        <v>178</v>
      </c>
      <c r="M155" s="19">
        <v>13.8</v>
      </c>
      <c r="N155" s="19" t="s">
        <v>234</v>
      </c>
      <c r="P155" s="19">
        <v>24</v>
      </c>
      <c r="Q155" s="19" t="s">
        <v>183</v>
      </c>
      <c r="R155" s="19">
        <v>37</v>
      </c>
      <c r="S155" s="9" t="s">
        <v>184</v>
      </c>
      <c r="T155" s="19">
        <v>5</v>
      </c>
    </row>
    <row r="156" spans="1:21" ht="15" customHeight="1">
      <c r="A156" s="27">
        <v>18</v>
      </c>
      <c r="B156" s="27">
        <v>8</v>
      </c>
      <c r="E156" s="19" t="s">
        <v>192</v>
      </c>
      <c r="F156" s="19" t="s">
        <v>236</v>
      </c>
      <c r="G156" s="19" t="s">
        <v>178</v>
      </c>
      <c r="M156" s="19">
        <v>13.8</v>
      </c>
      <c r="N156" s="19" t="s">
        <v>234</v>
      </c>
      <c r="P156" s="19">
        <v>48</v>
      </c>
      <c r="Q156" s="19" t="s">
        <v>183</v>
      </c>
      <c r="R156" s="19">
        <v>37</v>
      </c>
      <c r="S156" s="9" t="s">
        <v>184</v>
      </c>
      <c r="T156" s="19">
        <v>5</v>
      </c>
    </row>
    <row r="157" spans="1:21" s="18" customFormat="1" ht="15" customHeight="1">
      <c r="A157" s="41">
        <v>19</v>
      </c>
      <c r="B157" s="41">
        <v>1</v>
      </c>
      <c r="E157" s="18" t="s">
        <v>237</v>
      </c>
      <c r="F157" s="18" t="s">
        <v>238</v>
      </c>
      <c r="G157" s="18" t="s">
        <v>178</v>
      </c>
      <c r="H157" s="18" t="s">
        <v>179</v>
      </c>
      <c r="I157" s="18">
        <v>19000</v>
      </c>
      <c r="J157" s="18" t="s">
        <v>180</v>
      </c>
      <c r="K157" s="41" t="s">
        <v>239</v>
      </c>
      <c r="M157" s="18">
        <v>1000</v>
      </c>
      <c r="N157" s="18" t="s">
        <v>240</v>
      </c>
      <c r="O157" s="80"/>
      <c r="P157" s="18">
        <v>168</v>
      </c>
      <c r="Q157" s="18" t="s">
        <v>183</v>
      </c>
      <c r="R157" s="18">
        <v>37</v>
      </c>
      <c r="S157" s="13" t="s">
        <v>184</v>
      </c>
      <c r="T157" s="18">
        <v>5</v>
      </c>
      <c r="U157" s="18" t="s">
        <v>189</v>
      </c>
    </row>
    <row r="158" spans="1:21" ht="15" customHeight="1">
      <c r="A158" s="27">
        <v>19</v>
      </c>
      <c r="B158" s="27">
        <v>2</v>
      </c>
      <c r="E158" s="19" t="s">
        <v>237</v>
      </c>
      <c r="F158" s="62" t="s">
        <v>238</v>
      </c>
      <c r="G158" s="62" t="s">
        <v>178</v>
      </c>
      <c r="H158" s="19" t="s">
        <v>179</v>
      </c>
      <c r="I158" s="19">
        <v>19000</v>
      </c>
      <c r="J158" s="19" t="s">
        <v>180</v>
      </c>
      <c r="K158" s="61" t="s">
        <v>239</v>
      </c>
      <c r="M158" s="19">
        <v>2500</v>
      </c>
      <c r="N158" s="19" t="s">
        <v>240</v>
      </c>
      <c r="P158" s="19">
        <v>168</v>
      </c>
      <c r="Q158" s="19" t="s">
        <v>183</v>
      </c>
      <c r="R158" s="19">
        <v>37</v>
      </c>
      <c r="S158" s="9" t="s">
        <v>184</v>
      </c>
      <c r="T158" s="19">
        <v>5</v>
      </c>
      <c r="U158" s="19" t="s">
        <v>189</v>
      </c>
    </row>
    <row r="159" spans="1:21" s="18" customFormat="1" ht="15" customHeight="1">
      <c r="A159" s="41">
        <v>20</v>
      </c>
      <c r="B159" s="41">
        <v>1</v>
      </c>
      <c r="E159" s="18" t="s">
        <v>241</v>
      </c>
      <c r="F159" s="19" t="s">
        <v>242</v>
      </c>
      <c r="G159" s="19" t="s">
        <v>178</v>
      </c>
      <c r="H159" s="18" t="s">
        <v>203</v>
      </c>
      <c r="I159" s="18">
        <v>100000</v>
      </c>
      <c r="J159" s="18" t="s">
        <v>180</v>
      </c>
      <c r="K159" s="27" t="s">
        <v>243</v>
      </c>
      <c r="L159" s="18" t="s">
        <v>243</v>
      </c>
      <c r="M159" s="18">
        <v>0.5</v>
      </c>
      <c r="N159" s="18" t="s">
        <v>244</v>
      </c>
      <c r="O159" s="80"/>
      <c r="P159" s="18">
        <v>48</v>
      </c>
      <c r="Q159" s="18" t="s">
        <v>183</v>
      </c>
      <c r="R159" s="18">
        <v>37</v>
      </c>
      <c r="S159" s="13" t="s">
        <v>184</v>
      </c>
      <c r="T159" s="18">
        <v>5</v>
      </c>
      <c r="U159" s="18" t="s">
        <v>189</v>
      </c>
    </row>
    <row r="160" spans="1:21" ht="15" customHeight="1">
      <c r="A160" s="27">
        <v>20</v>
      </c>
      <c r="B160" s="27">
        <v>2</v>
      </c>
      <c r="E160" s="19" t="s">
        <v>241</v>
      </c>
      <c r="F160" s="19" t="s">
        <v>242</v>
      </c>
      <c r="G160" s="19" t="s">
        <v>178</v>
      </c>
      <c r="H160" s="19" t="s">
        <v>203</v>
      </c>
      <c r="I160" s="19">
        <v>100000</v>
      </c>
      <c r="J160" s="19" t="s">
        <v>180</v>
      </c>
      <c r="K160" s="27" t="s">
        <v>243</v>
      </c>
      <c r="L160" s="19" t="s">
        <v>243</v>
      </c>
      <c r="M160" s="19">
        <v>1</v>
      </c>
      <c r="N160" s="19" t="s">
        <v>244</v>
      </c>
      <c r="P160" s="19">
        <v>48</v>
      </c>
      <c r="Q160" s="19" t="s">
        <v>183</v>
      </c>
      <c r="R160" s="19">
        <v>37</v>
      </c>
      <c r="S160" s="9" t="s">
        <v>184</v>
      </c>
      <c r="T160" s="19">
        <v>5</v>
      </c>
      <c r="U160" s="19" t="s">
        <v>189</v>
      </c>
    </row>
    <row r="161" spans="1:21" ht="15" customHeight="1">
      <c r="A161" s="27">
        <v>20</v>
      </c>
      <c r="B161" s="27">
        <v>3</v>
      </c>
      <c r="E161" s="19" t="s">
        <v>241</v>
      </c>
      <c r="F161" s="19" t="s">
        <v>242</v>
      </c>
      <c r="G161" s="19" t="s">
        <v>178</v>
      </c>
      <c r="H161" s="19" t="s">
        <v>203</v>
      </c>
      <c r="I161" s="19">
        <v>100000</v>
      </c>
      <c r="J161" s="19" t="s">
        <v>180</v>
      </c>
      <c r="K161" s="27" t="s">
        <v>243</v>
      </c>
      <c r="L161" s="19" t="s">
        <v>243</v>
      </c>
      <c r="M161" s="19">
        <v>1.5</v>
      </c>
      <c r="N161" s="19" t="s">
        <v>244</v>
      </c>
      <c r="P161" s="19">
        <v>48</v>
      </c>
      <c r="Q161" s="19" t="s">
        <v>183</v>
      </c>
      <c r="R161" s="19">
        <v>37</v>
      </c>
      <c r="S161" s="9" t="s">
        <v>184</v>
      </c>
      <c r="T161" s="19">
        <v>5</v>
      </c>
      <c r="U161" s="19" t="s">
        <v>189</v>
      </c>
    </row>
    <row r="162" spans="1:21" ht="15" customHeight="1">
      <c r="A162" s="27">
        <v>20</v>
      </c>
      <c r="B162" s="27">
        <v>4</v>
      </c>
      <c r="E162" s="19" t="s">
        <v>241</v>
      </c>
      <c r="F162" s="19" t="s">
        <v>242</v>
      </c>
      <c r="G162" s="19" t="s">
        <v>178</v>
      </c>
      <c r="H162" s="19" t="s">
        <v>203</v>
      </c>
      <c r="I162" s="19">
        <v>100000</v>
      </c>
      <c r="J162" s="19" t="s">
        <v>180</v>
      </c>
      <c r="K162" s="27" t="s">
        <v>243</v>
      </c>
      <c r="L162" s="19" t="s">
        <v>243</v>
      </c>
      <c r="M162" s="19">
        <v>2</v>
      </c>
      <c r="N162" s="19" t="s">
        <v>244</v>
      </c>
      <c r="P162" s="19">
        <v>48</v>
      </c>
      <c r="Q162" s="19" t="s">
        <v>183</v>
      </c>
      <c r="R162" s="19">
        <v>37</v>
      </c>
      <c r="S162" s="9" t="s">
        <v>184</v>
      </c>
      <c r="T162" s="19">
        <v>5</v>
      </c>
      <c r="U162" s="19" t="s">
        <v>189</v>
      </c>
    </row>
    <row r="163" spans="1:21" ht="15" customHeight="1">
      <c r="A163" s="27">
        <v>20</v>
      </c>
      <c r="B163" s="27">
        <v>5</v>
      </c>
      <c r="E163" s="19" t="s">
        <v>241</v>
      </c>
      <c r="F163" s="19" t="s">
        <v>245</v>
      </c>
      <c r="G163" s="19" t="s">
        <v>178</v>
      </c>
      <c r="H163" s="19" t="s">
        <v>203</v>
      </c>
      <c r="I163" s="19">
        <v>100000</v>
      </c>
      <c r="J163" s="19" t="s">
        <v>180</v>
      </c>
      <c r="K163" s="27" t="s">
        <v>243</v>
      </c>
      <c r="L163" s="19" t="s">
        <v>243</v>
      </c>
      <c r="M163" s="19">
        <v>0.5</v>
      </c>
      <c r="N163" s="19" t="s">
        <v>244</v>
      </c>
      <c r="P163" s="19">
        <v>24</v>
      </c>
      <c r="Q163" s="19" t="s">
        <v>183</v>
      </c>
      <c r="R163" s="19">
        <v>37</v>
      </c>
      <c r="S163" s="9" t="s">
        <v>184</v>
      </c>
      <c r="T163" s="19">
        <v>5</v>
      </c>
      <c r="U163" s="19" t="s">
        <v>189</v>
      </c>
    </row>
    <row r="164" spans="1:21" ht="15" customHeight="1">
      <c r="A164" s="27">
        <v>20</v>
      </c>
      <c r="B164" s="27">
        <v>6</v>
      </c>
      <c r="E164" s="19" t="s">
        <v>241</v>
      </c>
      <c r="F164" s="19" t="s">
        <v>242</v>
      </c>
      <c r="G164" s="19" t="s">
        <v>178</v>
      </c>
      <c r="H164" s="19" t="s">
        <v>203</v>
      </c>
      <c r="I164" s="19">
        <v>100000</v>
      </c>
      <c r="J164" s="19" t="s">
        <v>180</v>
      </c>
      <c r="K164" s="27" t="s">
        <v>243</v>
      </c>
      <c r="L164" s="19" t="s">
        <v>243</v>
      </c>
      <c r="M164" s="19">
        <v>1</v>
      </c>
      <c r="N164" s="19" t="s">
        <v>244</v>
      </c>
      <c r="P164" s="19">
        <v>48</v>
      </c>
      <c r="Q164" s="19" t="s">
        <v>183</v>
      </c>
      <c r="R164" s="19">
        <v>37</v>
      </c>
      <c r="S164" s="9" t="s">
        <v>184</v>
      </c>
      <c r="T164" s="19">
        <v>5</v>
      </c>
      <c r="U164" s="19" t="s">
        <v>189</v>
      </c>
    </row>
    <row r="165" spans="1:21" ht="15" customHeight="1">
      <c r="A165" s="27">
        <v>20</v>
      </c>
      <c r="B165" s="27">
        <v>7</v>
      </c>
      <c r="E165" s="19" t="s">
        <v>241</v>
      </c>
      <c r="F165" s="19" t="s">
        <v>242</v>
      </c>
      <c r="G165" s="19" t="s">
        <v>178</v>
      </c>
      <c r="H165" s="19" t="s">
        <v>203</v>
      </c>
      <c r="I165" s="19">
        <v>100000</v>
      </c>
      <c r="J165" s="19" t="s">
        <v>180</v>
      </c>
      <c r="K165" s="27" t="s">
        <v>243</v>
      </c>
      <c r="L165" s="19" t="s">
        <v>243</v>
      </c>
      <c r="M165" s="19">
        <v>2</v>
      </c>
      <c r="N165" s="19" t="s">
        <v>244</v>
      </c>
      <c r="P165" s="19">
        <v>48</v>
      </c>
      <c r="Q165" s="19" t="s">
        <v>183</v>
      </c>
      <c r="R165" s="19">
        <v>37</v>
      </c>
      <c r="S165" s="9" t="s">
        <v>184</v>
      </c>
      <c r="T165" s="19">
        <v>5</v>
      </c>
      <c r="U165" s="19" t="s">
        <v>189</v>
      </c>
    </row>
    <row r="166" spans="1:21" ht="15" customHeight="1">
      <c r="A166" s="27">
        <v>20</v>
      </c>
      <c r="B166" s="27">
        <v>8</v>
      </c>
      <c r="E166" s="19" t="s">
        <v>241</v>
      </c>
      <c r="F166" s="19" t="s">
        <v>242</v>
      </c>
      <c r="G166" s="19" t="s">
        <v>178</v>
      </c>
      <c r="H166" s="19" t="s">
        <v>203</v>
      </c>
      <c r="I166" s="19">
        <v>100000</v>
      </c>
      <c r="J166" s="19" t="s">
        <v>180</v>
      </c>
      <c r="K166" s="27" t="s">
        <v>243</v>
      </c>
      <c r="L166" s="19" t="s">
        <v>243</v>
      </c>
      <c r="M166" s="19">
        <v>0.1</v>
      </c>
      <c r="N166" s="19" t="s">
        <v>244</v>
      </c>
      <c r="P166" s="19">
        <v>48</v>
      </c>
      <c r="Q166" s="19" t="s">
        <v>183</v>
      </c>
      <c r="R166" s="19">
        <v>37</v>
      </c>
      <c r="S166" s="9" t="s">
        <v>184</v>
      </c>
      <c r="T166" s="19">
        <v>5</v>
      </c>
      <c r="U166" s="19" t="s">
        <v>189</v>
      </c>
    </row>
    <row r="167" spans="1:21" ht="15" customHeight="1">
      <c r="A167" s="27">
        <v>20</v>
      </c>
      <c r="B167" s="27">
        <v>9</v>
      </c>
      <c r="E167" s="19" t="s">
        <v>241</v>
      </c>
      <c r="F167" s="19" t="s">
        <v>242</v>
      </c>
      <c r="G167" s="19" t="s">
        <v>178</v>
      </c>
      <c r="H167" s="19" t="s">
        <v>203</v>
      </c>
      <c r="I167" s="19">
        <v>100000</v>
      </c>
      <c r="J167" s="19" t="s">
        <v>180</v>
      </c>
      <c r="K167" s="27" t="s">
        <v>243</v>
      </c>
      <c r="L167" s="19" t="s">
        <v>243</v>
      </c>
      <c r="M167" s="19">
        <v>0.25</v>
      </c>
      <c r="N167" s="19" t="s">
        <v>244</v>
      </c>
      <c r="P167" s="19">
        <v>48</v>
      </c>
      <c r="Q167" s="19" t="s">
        <v>183</v>
      </c>
      <c r="R167" s="19">
        <v>37</v>
      </c>
      <c r="S167" s="9" t="s">
        <v>184</v>
      </c>
      <c r="T167" s="19">
        <v>5</v>
      </c>
      <c r="U167" s="19" t="s">
        <v>189</v>
      </c>
    </row>
    <row r="168" spans="1:21" ht="15" customHeight="1">
      <c r="A168" s="27">
        <v>20</v>
      </c>
      <c r="B168" s="27">
        <v>10</v>
      </c>
      <c r="E168" s="19" t="s">
        <v>241</v>
      </c>
      <c r="F168" s="19" t="s">
        <v>245</v>
      </c>
      <c r="G168" s="19" t="s">
        <v>178</v>
      </c>
      <c r="H168" s="19" t="s">
        <v>203</v>
      </c>
      <c r="I168" s="19">
        <v>100000</v>
      </c>
      <c r="J168" s="19" t="s">
        <v>180</v>
      </c>
      <c r="K168" s="27" t="s">
        <v>243</v>
      </c>
      <c r="L168" s="19" t="s">
        <v>243</v>
      </c>
      <c r="M168" s="19">
        <v>0.5</v>
      </c>
      <c r="N168" s="19" t="s">
        <v>244</v>
      </c>
      <c r="P168" s="19">
        <v>24</v>
      </c>
      <c r="Q168" s="19" t="s">
        <v>183</v>
      </c>
      <c r="R168" s="19">
        <v>37</v>
      </c>
      <c r="S168" s="9" t="s">
        <v>184</v>
      </c>
      <c r="T168" s="19">
        <v>5</v>
      </c>
      <c r="U168" s="19" t="s">
        <v>189</v>
      </c>
    </row>
    <row r="169" spans="1:21" ht="15" customHeight="1">
      <c r="A169" s="27">
        <v>20</v>
      </c>
      <c r="B169" s="27">
        <v>11</v>
      </c>
      <c r="E169" s="19" t="s">
        <v>241</v>
      </c>
      <c r="F169" s="19" t="s">
        <v>242</v>
      </c>
      <c r="G169" s="19" t="s">
        <v>178</v>
      </c>
      <c r="H169" s="19" t="s">
        <v>203</v>
      </c>
      <c r="I169" s="19">
        <v>100000</v>
      </c>
      <c r="J169" s="19" t="s">
        <v>180</v>
      </c>
      <c r="K169" s="27" t="s">
        <v>243</v>
      </c>
      <c r="L169" s="19" t="s">
        <v>243</v>
      </c>
      <c r="M169" s="19">
        <v>1</v>
      </c>
      <c r="N169" s="19" t="s">
        <v>244</v>
      </c>
      <c r="P169" s="19">
        <v>48</v>
      </c>
      <c r="Q169" s="19" t="s">
        <v>183</v>
      </c>
      <c r="R169" s="19">
        <v>37</v>
      </c>
      <c r="S169" s="9" t="s">
        <v>184</v>
      </c>
      <c r="T169" s="19">
        <v>5</v>
      </c>
      <c r="U169" s="19" t="s">
        <v>189</v>
      </c>
    </row>
    <row r="170" spans="1:21" ht="15" customHeight="1">
      <c r="A170" s="27">
        <v>20</v>
      </c>
      <c r="B170" s="27">
        <v>12</v>
      </c>
      <c r="E170" s="19" t="s">
        <v>241</v>
      </c>
      <c r="F170" s="19" t="s">
        <v>242</v>
      </c>
      <c r="G170" s="19" t="s">
        <v>178</v>
      </c>
      <c r="H170" s="19" t="s">
        <v>203</v>
      </c>
      <c r="I170" s="19">
        <v>100000</v>
      </c>
      <c r="J170" s="19" t="s">
        <v>180</v>
      </c>
      <c r="K170" s="27" t="s">
        <v>243</v>
      </c>
      <c r="L170" s="19" t="s">
        <v>243</v>
      </c>
      <c r="M170" s="19">
        <v>2</v>
      </c>
      <c r="N170" s="19" t="s">
        <v>244</v>
      </c>
      <c r="P170" s="19">
        <v>48</v>
      </c>
      <c r="Q170" s="19" t="s">
        <v>183</v>
      </c>
      <c r="R170" s="19">
        <v>37</v>
      </c>
      <c r="S170" s="9" t="s">
        <v>184</v>
      </c>
      <c r="T170" s="19">
        <v>5</v>
      </c>
      <c r="U170" s="19" t="s">
        <v>189</v>
      </c>
    </row>
    <row r="171" spans="1:21" ht="15" customHeight="1">
      <c r="A171" s="27">
        <v>20</v>
      </c>
      <c r="B171" s="27">
        <v>13</v>
      </c>
      <c r="E171" s="19" t="s">
        <v>241</v>
      </c>
      <c r="F171" s="19" t="s">
        <v>242</v>
      </c>
      <c r="G171" s="19" t="s">
        <v>178</v>
      </c>
      <c r="H171" s="19" t="s">
        <v>203</v>
      </c>
      <c r="I171" s="19">
        <v>100000</v>
      </c>
      <c r="J171" s="19" t="s">
        <v>180</v>
      </c>
      <c r="K171" s="27" t="s">
        <v>243</v>
      </c>
      <c r="L171" s="19" t="s">
        <v>243</v>
      </c>
      <c r="M171" s="19">
        <v>0.1</v>
      </c>
      <c r="N171" s="19" t="s">
        <v>244</v>
      </c>
      <c r="P171" s="19">
        <v>48</v>
      </c>
      <c r="Q171" s="19" t="s">
        <v>183</v>
      </c>
      <c r="R171" s="19">
        <v>37</v>
      </c>
      <c r="S171" s="9" t="s">
        <v>184</v>
      </c>
      <c r="T171" s="19">
        <v>5</v>
      </c>
      <c r="U171" s="19" t="s">
        <v>189</v>
      </c>
    </row>
    <row r="172" spans="1:21" ht="15" customHeight="1">
      <c r="A172" s="27">
        <v>20</v>
      </c>
      <c r="B172" s="27">
        <v>14</v>
      </c>
      <c r="E172" s="19" t="s">
        <v>241</v>
      </c>
      <c r="F172" s="19" t="s">
        <v>242</v>
      </c>
      <c r="G172" s="19" t="s">
        <v>178</v>
      </c>
      <c r="H172" s="19" t="s">
        <v>203</v>
      </c>
      <c r="I172" s="19">
        <v>100000</v>
      </c>
      <c r="J172" s="19" t="s">
        <v>180</v>
      </c>
      <c r="K172" s="27" t="s">
        <v>243</v>
      </c>
      <c r="L172" s="19" t="s">
        <v>243</v>
      </c>
      <c r="M172" s="19">
        <v>0.25</v>
      </c>
      <c r="N172" s="19" t="s">
        <v>244</v>
      </c>
      <c r="P172" s="19">
        <v>48</v>
      </c>
      <c r="Q172" s="19" t="s">
        <v>183</v>
      </c>
      <c r="R172" s="19">
        <v>37</v>
      </c>
      <c r="S172" s="9" t="s">
        <v>184</v>
      </c>
      <c r="T172" s="19">
        <v>5</v>
      </c>
      <c r="U172" s="19" t="s">
        <v>189</v>
      </c>
    </row>
    <row r="173" spans="1:21" ht="15" customHeight="1">
      <c r="A173" s="27">
        <v>20</v>
      </c>
      <c r="B173" s="27">
        <v>15</v>
      </c>
      <c r="E173" s="19" t="s">
        <v>241</v>
      </c>
      <c r="F173" s="19" t="s">
        <v>245</v>
      </c>
      <c r="G173" s="19" t="s">
        <v>178</v>
      </c>
      <c r="H173" s="19" t="s">
        <v>203</v>
      </c>
      <c r="I173" s="19">
        <v>100000</v>
      </c>
      <c r="J173" s="19" t="s">
        <v>180</v>
      </c>
      <c r="K173" s="27" t="s">
        <v>243</v>
      </c>
      <c r="L173" s="19" t="s">
        <v>243</v>
      </c>
      <c r="M173" s="19">
        <v>0.5</v>
      </c>
      <c r="N173" s="19" t="s">
        <v>244</v>
      </c>
      <c r="P173" s="19">
        <v>24</v>
      </c>
      <c r="Q173" s="19" t="s">
        <v>183</v>
      </c>
      <c r="R173" s="19">
        <v>37</v>
      </c>
      <c r="S173" s="9" t="s">
        <v>184</v>
      </c>
      <c r="T173" s="19">
        <v>5</v>
      </c>
      <c r="U173" s="19" t="s">
        <v>189</v>
      </c>
    </row>
    <row r="174" spans="1:21" s="18" customFormat="1" ht="15" customHeight="1">
      <c r="A174" s="41">
        <v>21</v>
      </c>
      <c r="B174" s="41">
        <v>1</v>
      </c>
      <c r="C174" s="13" t="s">
        <v>175</v>
      </c>
      <c r="E174" s="18" t="s">
        <v>176</v>
      </c>
      <c r="F174" s="18" t="s">
        <v>246</v>
      </c>
      <c r="G174" s="18" t="s">
        <v>178</v>
      </c>
      <c r="H174" s="18" t="s">
        <v>179</v>
      </c>
      <c r="K174" s="41" t="s">
        <v>182</v>
      </c>
      <c r="L174" s="18" t="s">
        <v>182</v>
      </c>
      <c r="O174" s="80">
        <v>0</v>
      </c>
      <c r="P174" s="18">
        <v>24</v>
      </c>
      <c r="Q174" s="18" t="s">
        <v>183</v>
      </c>
      <c r="R174" s="18">
        <v>37</v>
      </c>
      <c r="S174" s="13" t="s">
        <v>184</v>
      </c>
      <c r="T174" s="18">
        <v>5</v>
      </c>
      <c r="U174" s="18" t="s">
        <v>189</v>
      </c>
    </row>
    <row r="175" spans="1:21" ht="15" customHeight="1">
      <c r="A175" s="27">
        <v>21</v>
      </c>
      <c r="B175" s="27">
        <v>2</v>
      </c>
      <c r="C175" s="9" t="s">
        <v>175</v>
      </c>
      <c r="E175" s="19" t="s">
        <v>176</v>
      </c>
      <c r="F175" s="19" t="s">
        <v>246</v>
      </c>
      <c r="G175" s="19" t="s">
        <v>178</v>
      </c>
      <c r="H175" s="19" t="s">
        <v>179</v>
      </c>
      <c r="K175" s="27" t="s">
        <v>182</v>
      </c>
      <c r="L175" s="19" t="s">
        <v>182</v>
      </c>
      <c r="O175" s="79">
        <v>1</v>
      </c>
      <c r="P175" s="19">
        <v>24</v>
      </c>
      <c r="Q175" s="19" t="s">
        <v>183</v>
      </c>
      <c r="R175" s="19">
        <v>37</v>
      </c>
      <c r="S175" s="9" t="s">
        <v>184</v>
      </c>
      <c r="T175" s="19">
        <v>5</v>
      </c>
      <c r="U175" s="19" t="s">
        <v>189</v>
      </c>
    </row>
    <row r="176" spans="1:21" ht="15" customHeight="1">
      <c r="A176" s="27">
        <v>21</v>
      </c>
      <c r="B176" s="27">
        <v>3</v>
      </c>
      <c r="C176" s="9" t="s">
        <v>175</v>
      </c>
      <c r="E176" s="19" t="s">
        <v>176</v>
      </c>
      <c r="F176" s="19" t="s">
        <v>246</v>
      </c>
      <c r="G176" s="19" t="s">
        <v>178</v>
      </c>
      <c r="H176" s="19" t="s">
        <v>179</v>
      </c>
      <c r="K176" s="27" t="s">
        <v>182</v>
      </c>
      <c r="L176" s="19" t="s">
        <v>182</v>
      </c>
      <c r="O176" s="79">
        <v>10</v>
      </c>
      <c r="P176" s="19">
        <v>24</v>
      </c>
      <c r="Q176" s="19" t="s">
        <v>183</v>
      </c>
      <c r="R176" s="19">
        <v>37</v>
      </c>
      <c r="S176" s="9" t="s">
        <v>184</v>
      </c>
      <c r="T176" s="19">
        <v>5</v>
      </c>
      <c r="U176" s="19" t="s">
        <v>189</v>
      </c>
    </row>
    <row r="177" spans="1:21" ht="15" customHeight="1">
      <c r="A177" s="27">
        <v>21</v>
      </c>
      <c r="B177" s="27">
        <v>4</v>
      </c>
      <c r="C177" s="9" t="s">
        <v>175</v>
      </c>
      <c r="E177" s="19" t="s">
        <v>176</v>
      </c>
      <c r="F177" s="19" t="s">
        <v>246</v>
      </c>
      <c r="G177" s="19" t="s">
        <v>178</v>
      </c>
      <c r="H177" s="19" t="s">
        <v>179</v>
      </c>
      <c r="K177" s="27" t="s">
        <v>182</v>
      </c>
      <c r="L177" s="19" t="s">
        <v>182</v>
      </c>
      <c r="O177" s="79">
        <v>100</v>
      </c>
      <c r="P177" s="19">
        <v>24</v>
      </c>
      <c r="Q177" s="19" t="s">
        <v>183</v>
      </c>
      <c r="R177" s="19">
        <v>37</v>
      </c>
      <c r="S177" s="9" t="s">
        <v>184</v>
      </c>
      <c r="T177" s="19">
        <v>5</v>
      </c>
      <c r="U177" s="19" t="s">
        <v>189</v>
      </c>
    </row>
    <row r="178" spans="1:21" ht="15" customHeight="1">
      <c r="A178" s="27">
        <v>21</v>
      </c>
      <c r="B178" s="27">
        <v>5</v>
      </c>
      <c r="C178" s="9" t="s">
        <v>175</v>
      </c>
      <c r="E178" s="19" t="s">
        <v>176</v>
      </c>
      <c r="F178" s="19" t="s">
        <v>246</v>
      </c>
      <c r="G178" s="19" t="s">
        <v>178</v>
      </c>
      <c r="H178" s="19" t="s">
        <v>179</v>
      </c>
      <c r="K178" s="27" t="s">
        <v>182</v>
      </c>
      <c r="L178" s="19" t="s">
        <v>182</v>
      </c>
      <c r="O178" s="79">
        <v>1000</v>
      </c>
      <c r="P178" s="19">
        <v>24</v>
      </c>
      <c r="Q178" s="19" t="s">
        <v>183</v>
      </c>
      <c r="R178" s="19">
        <v>37</v>
      </c>
      <c r="S178" s="9" t="s">
        <v>184</v>
      </c>
      <c r="T178" s="19">
        <v>5</v>
      </c>
      <c r="U178" s="19" t="s">
        <v>189</v>
      </c>
    </row>
    <row r="179" spans="1:21" ht="15" customHeight="1">
      <c r="A179" s="27">
        <v>21</v>
      </c>
      <c r="B179" s="27">
        <v>6</v>
      </c>
      <c r="C179" s="9" t="s">
        <v>175</v>
      </c>
      <c r="E179" s="19" t="s">
        <v>176</v>
      </c>
      <c r="F179" s="19" t="s">
        <v>246</v>
      </c>
      <c r="G179" s="19" t="s">
        <v>178</v>
      </c>
      <c r="H179" s="19" t="s">
        <v>179</v>
      </c>
      <c r="K179" s="27" t="s">
        <v>182</v>
      </c>
      <c r="L179" s="19" t="s">
        <v>182</v>
      </c>
      <c r="O179" s="79">
        <v>0</v>
      </c>
      <c r="P179" s="19">
        <v>24</v>
      </c>
      <c r="Q179" s="19" t="s">
        <v>183</v>
      </c>
      <c r="R179" s="19">
        <v>37</v>
      </c>
      <c r="S179" s="9" t="s">
        <v>184</v>
      </c>
      <c r="T179" s="19">
        <v>5</v>
      </c>
      <c r="U179" s="19" t="s">
        <v>189</v>
      </c>
    </row>
    <row r="180" spans="1:21" ht="15" customHeight="1">
      <c r="A180" s="27">
        <v>21</v>
      </c>
      <c r="B180" s="27">
        <v>7</v>
      </c>
      <c r="C180" s="9" t="s">
        <v>175</v>
      </c>
      <c r="E180" s="19" t="s">
        <v>176</v>
      </c>
      <c r="F180" s="19" t="s">
        <v>246</v>
      </c>
      <c r="G180" s="19" t="s">
        <v>178</v>
      </c>
      <c r="H180" s="19" t="s">
        <v>179</v>
      </c>
      <c r="K180" s="27" t="s">
        <v>182</v>
      </c>
      <c r="L180" s="19" t="s">
        <v>182</v>
      </c>
      <c r="O180" s="79">
        <v>1</v>
      </c>
      <c r="P180" s="19">
        <v>24</v>
      </c>
      <c r="Q180" s="19" t="s">
        <v>183</v>
      </c>
      <c r="R180" s="19">
        <v>37</v>
      </c>
      <c r="S180" s="9" t="s">
        <v>184</v>
      </c>
      <c r="T180" s="19">
        <v>5</v>
      </c>
      <c r="U180" s="19" t="s">
        <v>189</v>
      </c>
    </row>
    <row r="181" spans="1:21" ht="15" customHeight="1">
      <c r="A181" s="27">
        <v>21</v>
      </c>
      <c r="B181" s="27">
        <v>8</v>
      </c>
      <c r="C181" s="9" t="s">
        <v>175</v>
      </c>
      <c r="E181" s="19" t="s">
        <v>176</v>
      </c>
      <c r="F181" s="19" t="s">
        <v>246</v>
      </c>
      <c r="G181" s="19" t="s">
        <v>178</v>
      </c>
      <c r="H181" s="19" t="s">
        <v>179</v>
      </c>
      <c r="K181" s="27" t="s">
        <v>182</v>
      </c>
      <c r="L181" s="19" t="s">
        <v>182</v>
      </c>
      <c r="O181" s="79">
        <v>10</v>
      </c>
      <c r="P181" s="19">
        <v>24</v>
      </c>
      <c r="Q181" s="19" t="s">
        <v>183</v>
      </c>
      <c r="R181" s="19">
        <v>37</v>
      </c>
      <c r="S181" s="9" t="s">
        <v>184</v>
      </c>
      <c r="T181" s="19">
        <v>5</v>
      </c>
      <c r="U181" s="19" t="s">
        <v>189</v>
      </c>
    </row>
    <row r="182" spans="1:21" ht="15" customHeight="1">
      <c r="A182" s="27">
        <v>21</v>
      </c>
      <c r="B182" s="27">
        <v>9</v>
      </c>
      <c r="C182" s="9" t="s">
        <v>175</v>
      </c>
      <c r="E182" s="19" t="s">
        <v>176</v>
      </c>
      <c r="F182" s="19" t="s">
        <v>246</v>
      </c>
      <c r="G182" s="19" t="s">
        <v>178</v>
      </c>
      <c r="H182" s="19" t="s">
        <v>179</v>
      </c>
      <c r="K182" s="27" t="s">
        <v>182</v>
      </c>
      <c r="L182" s="19" t="s">
        <v>182</v>
      </c>
      <c r="O182" s="79">
        <v>100</v>
      </c>
      <c r="P182" s="19">
        <v>24</v>
      </c>
      <c r="Q182" s="19" t="s">
        <v>183</v>
      </c>
      <c r="R182" s="19">
        <v>37</v>
      </c>
      <c r="S182" s="9" t="s">
        <v>184</v>
      </c>
      <c r="T182" s="19">
        <v>5</v>
      </c>
      <c r="U182" s="19" t="s">
        <v>189</v>
      </c>
    </row>
    <row r="183" spans="1:21" ht="15" customHeight="1">
      <c r="A183" s="27">
        <v>21</v>
      </c>
      <c r="B183" s="27">
        <v>10</v>
      </c>
      <c r="C183" s="9" t="s">
        <v>175</v>
      </c>
      <c r="E183" s="19" t="s">
        <v>176</v>
      </c>
      <c r="F183" s="19" t="s">
        <v>246</v>
      </c>
      <c r="G183" s="19" t="s">
        <v>178</v>
      </c>
      <c r="H183" s="19" t="s">
        <v>179</v>
      </c>
      <c r="K183" s="27" t="s">
        <v>182</v>
      </c>
      <c r="L183" s="19" t="s">
        <v>182</v>
      </c>
      <c r="O183" s="79">
        <v>1000</v>
      </c>
      <c r="P183" s="19">
        <v>24</v>
      </c>
      <c r="Q183" s="19" t="s">
        <v>183</v>
      </c>
      <c r="R183" s="19">
        <v>37</v>
      </c>
      <c r="S183" s="9" t="s">
        <v>184</v>
      </c>
      <c r="T183" s="19">
        <v>5</v>
      </c>
      <c r="U183" s="19" t="s">
        <v>189</v>
      </c>
    </row>
    <row r="184" spans="1:21" ht="15" customHeight="1">
      <c r="A184" s="27">
        <v>21</v>
      </c>
      <c r="B184" s="27">
        <v>11</v>
      </c>
      <c r="C184" s="9" t="s">
        <v>175</v>
      </c>
      <c r="E184" s="19" t="s">
        <v>176</v>
      </c>
      <c r="F184" s="19" t="s">
        <v>246</v>
      </c>
      <c r="G184" s="19" t="s">
        <v>178</v>
      </c>
      <c r="H184" s="19" t="s">
        <v>179</v>
      </c>
      <c r="K184" s="27" t="s">
        <v>182</v>
      </c>
      <c r="L184" s="19" t="s">
        <v>182</v>
      </c>
      <c r="O184" s="79">
        <v>0</v>
      </c>
      <c r="P184" s="19">
        <v>24</v>
      </c>
      <c r="Q184" s="19" t="s">
        <v>183</v>
      </c>
      <c r="R184" s="19">
        <v>37</v>
      </c>
      <c r="S184" s="9" t="s">
        <v>184</v>
      </c>
      <c r="T184" s="19">
        <v>5</v>
      </c>
      <c r="U184" s="19" t="s">
        <v>189</v>
      </c>
    </row>
    <row r="185" spans="1:21" ht="15" customHeight="1">
      <c r="A185" s="27">
        <v>21</v>
      </c>
      <c r="B185" s="27">
        <v>12</v>
      </c>
      <c r="C185" s="9" t="s">
        <v>175</v>
      </c>
      <c r="E185" s="19" t="s">
        <v>176</v>
      </c>
      <c r="F185" s="19" t="s">
        <v>246</v>
      </c>
      <c r="G185" s="19" t="s">
        <v>178</v>
      </c>
      <c r="H185" s="19" t="s">
        <v>179</v>
      </c>
      <c r="K185" s="27" t="s">
        <v>182</v>
      </c>
      <c r="L185" s="19" t="s">
        <v>182</v>
      </c>
      <c r="O185" s="79">
        <v>1</v>
      </c>
      <c r="P185" s="19">
        <v>24</v>
      </c>
      <c r="Q185" s="19" t="s">
        <v>183</v>
      </c>
      <c r="R185" s="19">
        <v>37</v>
      </c>
      <c r="S185" s="9" t="s">
        <v>184</v>
      </c>
      <c r="T185" s="19">
        <v>5</v>
      </c>
      <c r="U185" s="19" t="s">
        <v>189</v>
      </c>
    </row>
    <row r="186" spans="1:21" ht="15" customHeight="1">
      <c r="A186" s="27">
        <v>21</v>
      </c>
      <c r="B186" s="27">
        <v>13</v>
      </c>
      <c r="C186" s="9" t="s">
        <v>175</v>
      </c>
      <c r="E186" s="19" t="s">
        <v>176</v>
      </c>
      <c r="F186" s="19" t="s">
        <v>246</v>
      </c>
      <c r="G186" s="19" t="s">
        <v>178</v>
      </c>
      <c r="H186" s="19" t="s">
        <v>179</v>
      </c>
      <c r="K186" s="27" t="s">
        <v>182</v>
      </c>
      <c r="L186" s="19" t="s">
        <v>182</v>
      </c>
      <c r="O186" s="79">
        <v>10</v>
      </c>
      <c r="P186" s="19">
        <v>24</v>
      </c>
      <c r="Q186" s="19" t="s">
        <v>183</v>
      </c>
      <c r="R186" s="19">
        <v>37</v>
      </c>
      <c r="S186" s="9" t="s">
        <v>184</v>
      </c>
      <c r="T186" s="19">
        <v>5</v>
      </c>
      <c r="U186" s="19" t="s">
        <v>189</v>
      </c>
    </row>
    <row r="187" spans="1:21" ht="15" customHeight="1">
      <c r="A187" s="27">
        <v>21</v>
      </c>
      <c r="B187" s="27">
        <v>14</v>
      </c>
      <c r="C187" s="9" t="s">
        <v>175</v>
      </c>
      <c r="E187" s="19" t="s">
        <v>176</v>
      </c>
      <c r="F187" s="19" t="s">
        <v>246</v>
      </c>
      <c r="G187" s="19" t="s">
        <v>178</v>
      </c>
      <c r="H187" s="19" t="s">
        <v>179</v>
      </c>
      <c r="K187" s="27" t="s">
        <v>182</v>
      </c>
      <c r="L187" s="19" t="s">
        <v>182</v>
      </c>
      <c r="O187" s="79">
        <v>100</v>
      </c>
      <c r="P187" s="19">
        <v>24</v>
      </c>
      <c r="Q187" s="19" t="s">
        <v>183</v>
      </c>
      <c r="R187" s="19">
        <v>37</v>
      </c>
      <c r="S187" s="9" t="s">
        <v>184</v>
      </c>
      <c r="T187" s="19">
        <v>5</v>
      </c>
      <c r="U187" s="19" t="s">
        <v>189</v>
      </c>
    </row>
    <row r="188" spans="1:21" ht="15" customHeight="1">
      <c r="A188" s="27">
        <v>21</v>
      </c>
      <c r="B188" s="27">
        <v>15</v>
      </c>
      <c r="C188" s="9" t="s">
        <v>175</v>
      </c>
      <c r="E188" s="19" t="s">
        <v>176</v>
      </c>
      <c r="F188" s="19" t="s">
        <v>246</v>
      </c>
      <c r="G188" s="19" t="s">
        <v>178</v>
      </c>
      <c r="H188" s="19" t="s">
        <v>179</v>
      </c>
      <c r="K188" s="27" t="s">
        <v>182</v>
      </c>
      <c r="L188" s="19" t="s">
        <v>182</v>
      </c>
      <c r="O188" s="79">
        <v>1000</v>
      </c>
      <c r="P188" s="19">
        <v>24</v>
      </c>
      <c r="Q188" s="19" t="s">
        <v>183</v>
      </c>
      <c r="R188" s="19">
        <v>37</v>
      </c>
      <c r="S188" s="9" t="s">
        <v>184</v>
      </c>
      <c r="T188" s="19">
        <v>5</v>
      </c>
      <c r="U188" s="19" t="s">
        <v>189</v>
      </c>
    </row>
    <row r="189" spans="1:21" ht="15" customHeight="1">
      <c r="A189" s="27">
        <v>21</v>
      </c>
      <c r="B189" s="27">
        <v>16</v>
      </c>
      <c r="C189" s="9" t="s">
        <v>175</v>
      </c>
      <c r="E189" s="19" t="s">
        <v>176</v>
      </c>
      <c r="F189" s="19" t="s">
        <v>246</v>
      </c>
      <c r="G189" s="19" t="s">
        <v>178</v>
      </c>
      <c r="H189" s="19" t="s">
        <v>179</v>
      </c>
      <c r="K189" s="27" t="s">
        <v>182</v>
      </c>
      <c r="L189" s="19" t="s">
        <v>182</v>
      </c>
      <c r="O189" s="79">
        <v>0</v>
      </c>
      <c r="P189" s="19">
        <v>24</v>
      </c>
      <c r="Q189" s="19" t="s">
        <v>183</v>
      </c>
      <c r="R189" s="19">
        <v>37</v>
      </c>
      <c r="S189" s="9" t="s">
        <v>184</v>
      </c>
      <c r="T189" s="19">
        <v>5</v>
      </c>
      <c r="U189" s="19" t="s">
        <v>189</v>
      </c>
    </row>
    <row r="190" spans="1:21" ht="15" customHeight="1">
      <c r="A190" s="27">
        <v>21</v>
      </c>
      <c r="B190" s="27">
        <v>17</v>
      </c>
      <c r="C190" s="9" t="s">
        <v>175</v>
      </c>
      <c r="E190" s="19" t="s">
        <v>176</v>
      </c>
      <c r="F190" s="19" t="s">
        <v>246</v>
      </c>
      <c r="G190" s="19" t="s">
        <v>178</v>
      </c>
      <c r="H190" s="19" t="s">
        <v>179</v>
      </c>
      <c r="K190" s="27" t="s">
        <v>182</v>
      </c>
      <c r="L190" s="19" t="s">
        <v>182</v>
      </c>
      <c r="O190" s="79">
        <v>1</v>
      </c>
      <c r="P190" s="19">
        <v>24</v>
      </c>
      <c r="Q190" s="19" t="s">
        <v>183</v>
      </c>
      <c r="R190" s="19">
        <v>37</v>
      </c>
      <c r="S190" s="9" t="s">
        <v>184</v>
      </c>
      <c r="T190" s="19">
        <v>5</v>
      </c>
      <c r="U190" s="19" t="s">
        <v>189</v>
      </c>
    </row>
    <row r="191" spans="1:21" ht="15" customHeight="1">
      <c r="A191" s="27">
        <v>21</v>
      </c>
      <c r="B191" s="27">
        <v>18</v>
      </c>
      <c r="C191" s="9" t="s">
        <v>175</v>
      </c>
      <c r="E191" s="19" t="s">
        <v>176</v>
      </c>
      <c r="F191" s="19" t="s">
        <v>246</v>
      </c>
      <c r="G191" s="19" t="s">
        <v>178</v>
      </c>
      <c r="H191" s="19" t="s">
        <v>179</v>
      </c>
      <c r="K191" s="27" t="s">
        <v>182</v>
      </c>
      <c r="L191" s="19" t="s">
        <v>182</v>
      </c>
      <c r="O191" s="79">
        <v>10</v>
      </c>
      <c r="P191" s="19">
        <v>24</v>
      </c>
      <c r="Q191" s="19" t="s">
        <v>183</v>
      </c>
      <c r="R191" s="19">
        <v>37</v>
      </c>
      <c r="S191" s="9" t="s">
        <v>184</v>
      </c>
      <c r="T191" s="19">
        <v>5</v>
      </c>
      <c r="U191" s="19" t="s">
        <v>189</v>
      </c>
    </row>
    <row r="192" spans="1:21" ht="15" customHeight="1">
      <c r="A192" s="27">
        <v>21</v>
      </c>
      <c r="B192" s="27">
        <v>19</v>
      </c>
      <c r="C192" s="9" t="s">
        <v>175</v>
      </c>
      <c r="E192" s="19" t="s">
        <v>176</v>
      </c>
      <c r="F192" s="19" t="s">
        <v>246</v>
      </c>
      <c r="G192" s="19" t="s">
        <v>178</v>
      </c>
      <c r="H192" s="19" t="s">
        <v>179</v>
      </c>
      <c r="K192" s="27" t="s">
        <v>182</v>
      </c>
      <c r="L192" s="19" t="s">
        <v>182</v>
      </c>
      <c r="O192" s="79">
        <v>100</v>
      </c>
      <c r="P192" s="19">
        <v>24</v>
      </c>
      <c r="Q192" s="19" t="s">
        <v>183</v>
      </c>
      <c r="R192" s="19">
        <v>37</v>
      </c>
      <c r="S192" s="9" t="s">
        <v>184</v>
      </c>
      <c r="T192" s="19">
        <v>5</v>
      </c>
      <c r="U192" s="19" t="s">
        <v>189</v>
      </c>
    </row>
    <row r="193" spans="1:21" ht="15" customHeight="1">
      <c r="A193" s="27">
        <v>21</v>
      </c>
      <c r="B193" s="27">
        <v>20</v>
      </c>
      <c r="C193" s="9" t="s">
        <v>175</v>
      </c>
      <c r="E193" s="19" t="s">
        <v>176</v>
      </c>
      <c r="F193" s="19" t="s">
        <v>246</v>
      </c>
      <c r="G193" s="19" t="s">
        <v>178</v>
      </c>
      <c r="H193" s="19" t="s">
        <v>179</v>
      </c>
      <c r="K193" s="27" t="s">
        <v>182</v>
      </c>
      <c r="L193" s="19" t="s">
        <v>182</v>
      </c>
      <c r="O193" s="79">
        <v>1000</v>
      </c>
      <c r="P193" s="19">
        <v>24</v>
      </c>
      <c r="Q193" s="19" t="s">
        <v>183</v>
      </c>
      <c r="R193" s="19">
        <v>37</v>
      </c>
      <c r="S193" s="9" t="s">
        <v>184</v>
      </c>
      <c r="T193" s="19">
        <v>5</v>
      </c>
      <c r="U193" s="19" t="s">
        <v>189</v>
      </c>
    </row>
    <row r="194" spans="1:21" s="18" customFormat="1" ht="15" customHeight="1">
      <c r="A194" s="41">
        <v>22</v>
      </c>
      <c r="B194" s="41">
        <v>1</v>
      </c>
      <c r="E194" s="18" t="s">
        <v>192</v>
      </c>
      <c r="F194" s="18" t="s">
        <v>242</v>
      </c>
      <c r="G194" s="18" t="s">
        <v>178</v>
      </c>
      <c r="H194" s="18" t="s">
        <v>203</v>
      </c>
      <c r="I194" s="18">
        <v>7500</v>
      </c>
      <c r="J194" s="18" t="s">
        <v>180</v>
      </c>
      <c r="K194" s="41" t="s">
        <v>247</v>
      </c>
      <c r="M194" s="18">
        <v>1.25</v>
      </c>
      <c r="N194" s="18" t="s">
        <v>244</v>
      </c>
      <c r="O194" s="80"/>
      <c r="P194" s="18">
        <v>48</v>
      </c>
      <c r="Q194" s="18" t="s">
        <v>183</v>
      </c>
    </row>
    <row r="195" spans="1:21" ht="15" customHeight="1">
      <c r="A195" s="27">
        <v>22</v>
      </c>
      <c r="B195" s="27">
        <v>2</v>
      </c>
      <c r="E195" s="19" t="s">
        <v>192</v>
      </c>
      <c r="F195" s="19" t="s">
        <v>242</v>
      </c>
      <c r="G195" s="19" t="s">
        <v>178</v>
      </c>
      <c r="H195" s="19" t="s">
        <v>203</v>
      </c>
      <c r="I195" s="19">
        <v>7500</v>
      </c>
      <c r="J195" s="19" t="s">
        <v>180</v>
      </c>
      <c r="K195" s="27" t="s">
        <v>247</v>
      </c>
      <c r="M195" s="19">
        <v>0.625</v>
      </c>
      <c r="N195" s="19" t="s">
        <v>244</v>
      </c>
      <c r="P195" s="19">
        <v>48</v>
      </c>
      <c r="Q195" s="19" t="s">
        <v>183</v>
      </c>
    </row>
    <row r="196" spans="1:21" ht="15" customHeight="1">
      <c r="A196" s="27">
        <v>22</v>
      </c>
      <c r="B196" s="27">
        <v>3</v>
      </c>
      <c r="E196" s="19" t="s">
        <v>192</v>
      </c>
      <c r="F196" s="19" t="s">
        <v>242</v>
      </c>
      <c r="G196" s="19" t="s">
        <v>178</v>
      </c>
      <c r="H196" s="19" t="s">
        <v>203</v>
      </c>
      <c r="I196" s="19">
        <v>7500</v>
      </c>
      <c r="J196" s="19" t="s">
        <v>180</v>
      </c>
      <c r="K196" s="27" t="s">
        <v>247</v>
      </c>
      <c r="M196" s="19">
        <v>0.313</v>
      </c>
      <c r="N196" s="19" t="s">
        <v>244</v>
      </c>
      <c r="P196" s="19">
        <v>48</v>
      </c>
      <c r="Q196" s="19" t="s">
        <v>183</v>
      </c>
    </row>
    <row r="197" spans="1:21" ht="15" customHeight="1">
      <c r="A197" s="27">
        <v>22</v>
      </c>
      <c r="B197" s="27">
        <v>4</v>
      </c>
      <c r="E197" s="19" t="s">
        <v>192</v>
      </c>
      <c r="F197" s="19" t="s">
        <v>242</v>
      </c>
      <c r="G197" s="19" t="s">
        <v>178</v>
      </c>
      <c r="H197" s="19" t="s">
        <v>203</v>
      </c>
      <c r="I197" s="19">
        <v>7500</v>
      </c>
      <c r="J197" s="19" t="s">
        <v>180</v>
      </c>
      <c r="K197" s="27" t="s">
        <v>247</v>
      </c>
      <c r="M197" s="19">
        <v>0.156</v>
      </c>
      <c r="N197" s="19" t="s">
        <v>244</v>
      </c>
      <c r="P197" s="19">
        <v>48</v>
      </c>
      <c r="Q197" s="19" t="s">
        <v>183</v>
      </c>
    </row>
    <row r="198" spans="1:21" ht="15" customHeight="1">
      <c r="A198" s="27">
        <v>22</v>
      </c>
      <c r="B198" s="27">
        <v>5</v>
      </c>
      <c r="E198" s="19" t="s">
        <v>192</v>
      </c>
      <c r="F198" s="19" t="s">
        <v>242</v>
      </c>
      <c r="G198" s="19" t="s">
        <v>178</v>
      </c>
      <c r="H198" s="19" t="s">
        <v>203</v>
      </c>
      <c r="I198" s="19">
        <v>7500</v>
      </c>
      <c r="J198" s="19" t="s">
        <v>180</v>
      </c>
      <c r="K198" s="27" t="s">
        <v>247</v>
      </c>
      <c r="M198" s="19">
        <v>7.8E-2</v>
      </c>
      <c r="N198" s="19" t="s">
        <v>244</v>
      </c>
      <c r="P198" s="19">
        <v>48</v>
      </c>
      <c r="Q198" s="19" t="s">
        <v>183</v>
      </c>
    </row>
    <row r="199" spans="1:21" ht="15" customHeight="1">
      <c r="A199" s="27">
        <v>22</v>
      </c>
      <c r="B199" s="27">
        <v>6</v>
      </c>
      <c r="E199" s="19" t="s">
        <v>192</v>
      </c>
      <c r="F199" s="19" t="s">
        <v>242</v>
      </c>
      <c r="G199" s="19" t="s">
        <v>178</v>
      </c>
      <c r="H199" s="19" t="s">
        <v>203</v>
      </c>
      <c r="I199" s="19">
        <v>7500</v>
      </c>
      <c r="J199" s="19" t="s">
        <v>180</v>
      </c>
      <c r="K199" s="27" t="s">
        <v>247</v>
      </c>
      <c r="M199" s="19">
        <v>3.9E-2</v>
      </c>
      <c r="N199" s="19" t="s">
        <v>244</v>
      </c>
      <c r="P199" s="19">
        <v>48</v>
      </c>
      <c r="Q199" s="19" t="s">
        <v>183</v>
      </c>
    </row>
    <row r="200" spans="1:21" ht="15" customHeight="1">
      <c r="A200" s="27">
        <v>22</v>
      </c>
      <c r="B200" s="27">
        <v>7</v>
      </c>
      <c r="E200" s="19" t="s">
        <v>192</v>
      </c>
      <c r="F200" s="19" t="s">
        <v>242</v>
      </c>
      <c r="G200" s="19" t="s">
        <v>178</v>
      </c>
      <c r="H200" s="19" t="s">
        <v>203</v>
      </c>
      <c r="I200" s="19">
        <v>7500</v>
      </c>
      <c r="J200" s="19" t="s">
        <v>180</v>
      </c>
      <c r="K200" s="27" t="s">
        <v>247</v>
      </c>
      <c r="M200" s="19">
        <v>0.02</v>
      </c>
      <c r="N200" s="19" t="s">
        <v>244</v>
      </c>
      <c r="P200" s="19">
        <v>48</v>
      </c>
      <c r="Q200" s="19" t="s">
        <v>183</v>
      </c>
    </row>
    <row r="201" spans="1:21" ht="15" customHeight="1">
      <c r="A201" s="27">
        <v>22</v>
      </c>
      <c r="B201" s="27">
        <v>8</v>
      </c>
      <c r="E201" s="19" t="s">
        <v>192</v>
      </c>
      <c r="F201" s="19" t="s">
        <v>242</v>
      </c>
      <c r="G201" s="19" t="s">
        <v>178</v>
      </c>
      <c r="H201" s="19" t="s">
        <v>203</v>
      </c>
      <c r="I201" s="19">
        <v>7500</v>
      </c>
      <c r="J201" s="19" t="s">
        <v>180</v>
      </c>
      <c r="K201" s="27" t="s">
        <v>247</v>
      </c>
      <c r="M201" s="19">
        <v>0.01</v>
      </c>
      <c r="N201" s="19" t="s">
        <v>244</v>
      </c>
      <c r="P201" s="19">
        <v>48</v>
      </c>
      <c r="Q201" s="19" t="s">
        <v>183</v>
      </c>
    </row>
    <row r="202" spans="1:21" ht="15" customHeight="1">
      <c r="A202" s="27">
        <v>22</v>
      </c>
      <c r="B202" s="27">
        <v>9</v>
      </c>
      <c r="E202" s="19" t="s">
        <v>192</v>
      </c>
      <c r="F202" s="19" t="s">
        <v>242</v>
      </c>
      <c r="G202" s="19" t="s">
        <v>178</v>
      </c>
      <c r="H202" s="19" t="s">
        <v>203</v>
      </c>
      <c r="I202" s="19">
        <v>7500</v>
      </c>
      <c r="J202" s="19" t="s">
        <v>180</v>
      </c>
      <c r="K202" s="27" t="s">
        <v>247</v>
      </c>
      <c r="M202" s="19">
        <v>5.0000000000000001E-3</v>
      </c>
      <c r="N202" s="19" t="s">
        <v>244</v>
      </c>
      <c r="P202" s="19">
        <v>48</v>
      </c>
      <c r="Q202" s="19" t="s">
        <v>183</v>
      </c>
    </row>
    <row r="203" spans="1:21" ht="15" customHeight="1">
      <c r="A203" s="27">
        <v>22</v>
      </c>
      <c r="B203" s="27">
        <v>10</v>
      </c>
      <c r="E203" s="19" t="s">
        <v>192</v>
      </c>
      <c r="F203" s="19" t="s">
        <v>248</v>
      </c>
      <c r="G203" s="19" t="s">
        <v>178</v>
      </c>
      <c r="H203" s="19" t="s">
        <v>203</v>
      </c>
      <c r="I203" s="19">
        <v>7500</v>
      </c>
      <c r="J203" s="19" t="s">
        <v>180</v>
      </c>
      <c r="K203" s="27" t="s">
        <v>247</v>
      </c>
      <c r="M203" s="19">
        <v>1.25</v>
      </c>
      <c r="N203" s="19" t="s">
        <v>244</v>
      </c>
      <c r="P203" s="19">
        <v>48</v>
      </c>
      <c r="Q203" s="19" t="s">
        <v>183</v>
      </c>
    </row>
    <row r="204" spans="1:21" ht="15" customHeight="1">
      <c r="A204" s="27">
        <v>22</v>
      </c>
      <c r="B204" s="27">
        <v>11</v>
      </c>
      <c r="E204" s="19" t="s">
        <v>192</v>
      </c>
      <c r="F204" s="19" t="s">
        <v>248</v>
      </c>
      <c r="G204" s="19" t="s">
        <v>178</v>
      </c>
      <c r="H204" s="19" t="s">
        <v>203</v>
      </c>
      <c r="I204" s="19">
        <v>7500</v>
      </c>
      <c r="J204" s="19" t="s">
        <v>180</v>
      </c>
      <c r="K204" s="27" t="s">
        <v>247</v>
      </c>
      <c r="M204" s="19">
        <v>0.625</v>
      </c>
      <c r="N204" s="19" t="s">
        <v>244</v>
      </c>
      <c r="P204" s="19">
        <v>48</v>
      </c>
      <c r="Q204" s="19" t="s">
        <v>183</v>
      </c>
    </row>
    <row r="205" spans="1:21" ht="15" customHeight="1">
      <c r="A205" s="27">
        <v>22</v>
      </c>
      <c r="B205" s="27">
        <v>12</v>
      </c>
      <c r="E205" s="19" t="s">
        <v>192</v>
      </c>
      <c r="F205" s="19" t="s">
        <v>248</v>
      </c>
      <c r="G205" s="19" t="s">
        <v>178</v>
      </c>
      <c r="H205" s="19" t="s">
        <v>203</v>
      </c>
      <c r="I205" s="19">
        <v>7500</v>
      </c>
      <c r="J205" s="19" t="s">
        <v>180</v>
      </c>
      <c r="K205" s="27" t="s">
        <v>247</v>
      </c>
      <c r="M205" s="19">
        <v>0.313</v>
      </c>
      <c r="N205" s="19" t="s">
        <v>244</v>
      </c>
      <c r="P205" s="19">
        <v>48</v>
      </c>
      <c r="Q205" s="19" t="s">
        <v>183</v>
      </c>
    </row>
    <row r="206" spans="1:21" ht="15" customHeight="1">
      <c r="A206" s="27">
        <v>22</v>
      </c>
      <c r="B206" s="27">
        <v>13</v>
      </c>
      <c r="E206" s="19" t="s">
        <v>192</v>
      </c>
      <c r="F206" s="19" t="s">
        <v>248</v>
      </c>
      <c r="G206" s="19" t="s">
        <v>178</v>
      </c>
      <c r="H206" s="19" t="s">
        <v>203</v>
      </c>
      <c r="I206" s="19">
        <v>7500</v>
      </c>
      <c r="J206" s="19" t="s">
        <v>180</v>
      </c>
      <c r="K206" s="27" t="s">
        <v>247</v>
      </c>
      <c r="M206" s="19">
        <v>0.156</v>
      </c>
      <c r="N206" s="19" t="s">
        <v>244</v>
      </c>
      <c r="P206" s="19">
        <v>48</v>
      </c>
      <c r="Q206" s="19" t="s">
        <v>183</v>
      </c>
    </row>
    <row r="207" spans="1:21" ht="15" customHeight="1">
      <c r="A207" s="27">
        <v>22</v>
      </c>
      <c r="B207" s="27">
        <v>14</v>
      </c>
      <c r="E207" s="19" t="s">
        <v>192</v>
      </c>
      <c r="F207" s="19" t="s">
        <v>248</v>
      </c>
      <c r="G207" s="19" t="s">
        <v>178</v>
      </c>
      <c r="H207" s="19" t="s">
        <v>203</v>
      </c>
      <c r="I207" s="19">
        <v>7500</v>
      </c>
      <c r="J207" s="19" t="s">
        <v>180</v>
      </c>
      <c r="K207" s="27" t="s">
        <v>247</v>
      </c>
      <c r="M207" s="19">
        <v>7.8E-2</v>
      </c>
      <c r="N207" s="19" t="s">
        <v>244</v>
      </c>
      <c r="P207" s="19">
        <v>48</v>
      </c>
      <c r="Q207" s="19" t="s">
        <v>183</v>
      </c>
    </row>
    <row r="208" spans="1:21" ht="15" customHeight="1">
      <c r="A208" s="27">
        <v>22</v>
      </c>
      <c r="B208" s="27">
        <v>15</v>
      </c>
      <c r="E208" s="19" t="s">
        <v>192</v>
      </c>
      <c r="F208" s="19" t="s">
        <v>248</v>
      </c>
      <c r="G208" s="19" t="s">
        <v>178</v>
      </c>
      <c r="H208" s="19" t="s">
        <v>203</v>
      </c>
      <c r="I208" s="19">
        <v>7500</v>
      </c>
      <c r="J208" s="19" t="s">
        <v>180</v>
      </c>
      <c r="K208" s="27" t="s">
        <v>247</v>
      </c>
      <c r="M208" s="19">
        <v>3.9E-2</v>
      </c>
      <c r="N208" s="19" t="s">
        <v>244</v>
      </c>
      <c r="P208" s="19">
        <v>48</v>
      </c>
      <c r="Q208" s="19" t="s">
        <v>183</v>
      </c>
    </row>
    <row r="209" spans="1:21" ht="15" customHeight="1">
      <c r="A209" s="27">
        <v>22</v>
      </c>
      <c r="B209" s="27">
        <v>16</v>
      </c>
      <c r="E209" s="19" t="s">
        <v>192</v>
      </c>
      <c r="F209" s="19" t="s">
        <v>248</v>
      </c>
      <c r="G209" s="19" t="s">
        <v>178</v>
      </c>
      <c r="H209" s="19" t="s">
        <v>203</v>
      </c>
      <c r="I209" s="19">
        <v>7500</v>
      </c>
      <c r="J209" s="19" t="s">
        <v>180</v>
      </c>
      <c r="K209" s="27" t="s">
        <v>247</v>
      </c>
      <c r="M209" s="19">
        <v>0.02</v>
      </c>
      <c r="N209" s="19" t="s">
        <v>244</v>
      </c>
      <c r="P209" s="19">
        <v>48</v>
      </c>
      <c r="Q209" s="19" t="s">
        <v>183</v>
      </c>
    </row>
    <row r="210" spans="1:21" ht="15" customHeight="1">
      <c r="A210" s="27">
        <v>22</v>
      </c>
      <c r="B210" s="27">
        <v>17</v>
      </c>
      <c r="E210" s="19" t="s">
        <v>192</v>
      </c>
      <c r="F210" s="19" t="s">
        <v>248</v>
      </c>
      <c r="G210" s="19" t="s">
        <v>178</v>
      </c>
      <c r="H210" s="19" t="s">
        <v>203</v>
      </c>
      <c r="I210" s="19">
        <v>7500</v>
      </c>
      <c r="J210" s="19" t="s">
        <v>180</v>
      </c>
      <c r="K210" s="27" t="s">
        <v>247</v>
      </c>
      <c r="M210" s="19">
        <v>0.01</v>
      </c>
      <c r="N210" s="19" t="s">
        <v>244</v>
      </c>
      <c r="P210" s="19">
        <v>48</v>
      </c>
      <c r="Q210" s="19" t="s">
        <v>183</v>
      </c>
    </row>
    <row r="211" spans="1:21" ht="15" customHeight="1">
      <c r="A211" s="27">
        <v>22</v>
      </c>
      <c r="B211" s="27">
        <v>18</v>
      </c>
      <c r="E211" s="19" t="s">
        <v>192</v>
      </c>
      <c r="F211" s="19" t="s">
        <v>248</v>
      </c>
      <c r="G211" s="19" t="s">
        <v>178</v>
      </c>
      <c r="H211" s="19" t="s">
        <v>203</v>
      </c>
      <c r="I211" s="19">
        <v>7500</v>
      </c>
      <c r="J211" s="19" t="s">
        <v>180</v>
      </c>
      <c r="K211" s="27" t="s">
        <v>247</v>
      </c>
      <c r="M211" s="19">
        <v>5.0000000000000001E-3</v>
      </c>
      <c r="N211" s="19" t="s">
        <v>244</v>
      </c>
      <c r="P211" s="19">
        <v>48</v>
      </c>
      <c r="Q211" s="19" t="s">
        <v>183</v>
      </c>
    </row>
    <row r="212" spans="1:21" s="18" customFormat="1" ht="15" customHeight="1">
      <c r="A212" s="41">
        <v>23</v>
      </c>
      <c r="B212" s="41">
        <v>1</v>
      </c>
      <c r="E212" s="18" t="s">
        <v>192</v>
      </c>
      <c r="F212" s="18" t="s">
        <v>249</v>
      </c>
      <c r="G212" s="18" t="s">
        <v>250</v>
      </c>
      <c r="H212" s="18" t="s">
        <v>203</v>
      </c>
      <c r="I212" s="18">
        <v>20000</v>
      </c>
      <c r="J212" s="18" t="s">
        <v>180</v>
      </c>
      <c r="K212" s="41" t="s">
        <v>251</v>
      </c>
      <c r="L212" s="18" t="s">
        <v>252</v>
      </c>
      <c r="M212" s="18">
        <v>1000</v>
      </c>
      <c r="N212" s="18" t="s">
        <v>205</v>
      </c>
      <c r="O212" s="80"/>
      <c r="P212" s="18">
        <v>24</v>
      </c>
      <c r="Q212" s="18" t="s">
        <v>183</v>
      </c>
      <c r="R212" s="18">
        <v>37</v>
      </c>
      <c r="S212" s="13" t="s">
        <v>184</v>
      </c>
      <c r="T212" s="18">
        <v>5</v>
      </c>
      <c r="U212" s="18" t="s">
        <v>189</v>
      </c>
    </row>
    <row r="213" spans="1:21" ht="15" customHeight="1">
      <c r="A213" s="27">
        <v>23</v>
      </c>
      <c r="B213" s="27">
        <v>2</v>
      </c>
      <c r="E213" s="19" t="s">
        <v>192</v>
      </c>
      <c r="F213" s="19" t="s">
        <v>249</v>
      </c>
      <c r="G213" s="19" t="s">
        <v>250</v>
      </c>
      <c r="H213" s="19" t="s">
        <v>203</v>
      </c>
      <c r="I213" s="19">
        <v>20000</v>
      </c>
      <c r="J213" s="19" t="s">
        <v>180</v>
      </c>
      <c r="K213" s="27" t="s">
        <v>253</v>
      </c>
      <c r="L213" s="19" t="s">
        <v>252</v>
      </c>
      <c r="M213" s="19">
        <v>100</v>
      </c>
      <c r="N213" s="19" t="s">
        <v>205</v>
      </c>
      <c r="P213" s="19">
        <v>24</v>
      </c>
      <c r="Q213" s="19" t="s">
        <v>183</v>
      </c>
      <c r="R213" s="19">
        <v>37</v>
      </c>
      <c r="S213" s="9" t="s">
        <v>184</v>
      </c>
      <c r="T213" s="19">
        <v>5</v>
      </c>
      <c r="U213" s="19" t="s">
        <v>189</v>
      </c>
    </row>
    <row r="214" spans="1:21" ht="15" customHeight="1">
      <c r="A214" s="27">
        <v>23</v>
      </c>
      <c r="B214" s="27">
        <v>3</v>
      </c>
      <c r="E214" s="19" t="s">
        <v>192</v>
      </c>
      <c r="F214" s="19" t="s">
        <v>249</v>
      </c>
      <c r="G214" s="19" t="s">
        <v>250</v>
      </c>
      <c r="H214" s="19" t="s">
        <v>203</v>
      </c>
      <c r="I214" s="19">
        <v>20000</v>
      </c>
      <c r="J214" s="19" t="s">
        <v>180</v>
      </c>
      <c r="K214" s="27" t="s">
        <v>254</v>
      </c>
      <c r="L214" s="19" t="s">
        <v>252</v>
      </c>
      <c r="M214" s="19">
        <v>1000</v>
      </c>
      <c r="N214" s="19" t="s">
        <v>205</v>
      </c>
      <c r="P214" s="19">
        <v>24</v>
      </c>
      <c r="Q214" s="19" t="s">
        <v>183</v>
      </c>
      <c r="R214" s="19">
        <v>37</v>
      </c>
      <c r="S214" s="9" t="s">
        <v>184</v>
      </c>
      <c r="T214" s="19">
        <v>5</v>
      </c>
      <c r="U214" s="19" t="s">
        <v>189</v>
      </c>
    </row>
    <row r="215" spans="1:21" ht="15" customHeight="1">
      <c r="A215" s="27">
        <v>23</v>
      </c>
      <c r="B215" s="27">
        <v>4</v>
      </c>
      <c r="E215" s="19" t="s">
        <v>192</v>
      </c>
      <c r="F215" s="19" t="s">
        <v>249</v>
      </c>
      <c r="G215" s="19" t="s">
        <v>250</v>
      </c>
      <c r="H215" s="19" t="s">
        <v>203</v>
      </c>
      <c r="I215" s="19">
        <v>20000</v>
      </c>
      <c r="J215" s="19" t="s">
        <v>180</v>
      </c>
      <c r="K215" s="27" t="s">
        <v>255</v>
      </c>
      <c r="L215" s="19" t="s">
        <v>252</v>
      </c>
      <c r="M215" s="19">
        <v>100</v>
      </c>
      <c r="N215" s="19" t="s">
        <v>205</v>
      </c>
      <c r="P215" s="19">
        <v>24</v>
      </c>
      <c r="Q215" s="19" t="s">
        <v>183</v>
      </c>
      <c r="R215" s="19">
        <v>37</v>
      </c>
      <c r="S215" s="9" t="s">
        <v>184</v>
      </c>
      <c r="T215" s="19">
        <v>5</v>
      </c>
      <c r="U215" s="19" t="s">
        <v>189</v>
      </c>
    </row>
    <row r="216" spans="1:21" s="18" customFormat="1" ht="15" customHeight="1">
      <c r="A216" s="41">
        <v>24</v>
      </c>
      <c r="B216" s="41">
        <v>1</v>
      </c>
      <c r="E216" s="18" t="s">
        <v>256</v>
      </c>
      <c r="F216" s="18" t="s">
        <v>257</v>
      </c>
      <c r="G216" s="18" t="s">
        <v>178</v>
      </c>
      <c r="I216" s="18">
        <v>5280</v>
      </c>
      <c r="J216" s="18" t="s">
        <v>180</v>
      </c>
      <c r="K216" s="41"/>
      <c r="M216" s="18">
        <v>7.4999999999999997E-2</v>
      </c>
      <c r="N216" s="18" t="s">
        <v>244</v>
      </c>
      <c r="O216" s="80"/>
      <c r="R216" s="18">
        <v>37</v>
      </c>
      <c r="S216" s="13" t="s">
        <v>184</v>
      </c>
      <c r="T216" s="18">
        <v>5</v>
      </c>
      <c r="U216" s="18" t="s">
        <v>189</v>
      </c>
    </row>
    <row r="217" spans="1:21" ht="15" customHeight="1">
      <c r="A217" s="27">
        <v>24</v>
      </c>
      <c r="B217" s="27">
        <v>2</v>
      </c>
      <c r="E217" s="19" t="s">
        <v>256</v>
      </c>
      <c r="F217" s="19" t="s">
        <v>257</v>
      </c>
      <c r="G217" s="19" t="s">
        <v>178</v>
      </c>
      <c r="I217" s="19">
        <v>5280</v>
      </c>
      <c r="J217" s="19" t="s">
        <v>180</v>
      </c>
      <c r="M217" s="19">
        <v>0.15</v>
      </c>
      <c r="N217" s="19" t="s">
        <v>244</v>
      </c>
      <c r="R217" s="19">
        <v>37</v>
      </c>
      <c r="S217" s="9" t="s">
        <v>184</v>
      </c>
      <c r="T217" s="19">
        <v>5</v>
      </c>
      <c r="U217" s="19" t="s">
        <v>189</v>
      </c>
    </row>
    <row r="218" spans="1:21" ht="15" customHeight="1">
      <c r="A218" s="27">
        <v>24</v>
      </c>
      <c r="B218" s="27">
        <v>3</v>
      </c>
      <c r="E218" s="19" t="s">
        <v>256</v>
      </c>
      <c r="F218" s="19" t="s">
        <v>257</v>
      </c>
      <c r="G218" s="19" t="s">
        <v>178</v>
      </c>
      <c r="I218" s="19">
        <v>5280</v>
      </c>
      <c r="J218" s="19" t="s">
        <v>180</v>
      </c>
      <c r="M218" s="19">
        <v>0.3</v>
      </c>
      <c r="N218" s="19" t="s">
        <v>244</v>
      </c>
      <c r="R218" s="19">
        <v>37</v>
      </c>
      <c r="S218" s="9" t="s">
        <v>184</v>
      </c>
      <c r="T218" s="19">
        <v>5</v>
      </c>
      <c r="U218" s="19" t="s">
        <v>189</v>
      </c>
    </row>
    <row r="219" spans="1:21" ht="15" customHeight="1">
      <c r="A219" s="27">
        <v>24</v>
      </c>
      <c r="B219" s="27">
        <v>4</v>
      </c>
      <c r="E219" s="19" t="s">
        <v>256</v>
      </c>
      <c r="F219" s="19" t="s">
        <v>257</v>
      </c>
      <c r="G219" s="19" t="s">
        <v>178</v>
      </c>
      <c r="I219" s="19">
        <v>5280</v>
      </c>
      <c r="J219" s="19" t="s">
        <v>180</v>
      </c>
      <c r="M219" s="19">
        <v>0.6</v>
      </c>
      <c r="N219" s="19" t="s">
        <v>244</v>
      </c>
      <c r="R219" s="19">
        <v>37</v>
      </c>
      <c r="S219" s="9" t="s">
        <v>184</v>
      </c>
      <c r="T219" s="19">
        <v>5</v>
      </c>
      <c r="U219" s="19" t="s">
        <v>189</v>
      </c>
    </row>
    <row r="220" spans="1:21" s="18" customFormat="1" ht="15" customHeight="1">
      <c r="A220" s="18">
        <v>25</v>
      </c>
      <c r="B220" s="18">
        <v>1</v>
      </c>
      <c r="E220" s="18" t="s">
        <v>192</v>
      </c>
      <c r="F220" s="18" t="s">
        <v>258</v>
      </c>
      <c r="G220" s="18" t="s">
        <v>194</v>
      </c>
      <c r="I220" s="18">
        <v>20000</v>
      </c>
      <c r="J220" s="18" t="s">
        <v>180</v>
      </c>
      <c r="K220" s="41" t="s">
        <v>259</v>
      </c>
      <c r="L220" s="18" t="s">
        <v>259</v>
      </c>
      <c r="M220" s="18">
        <v>0.5</v>
      </c>
      <c r="N220" s="18" t="s">
        <v>244</v>
      </c>
      <c r="O220" s="80"/>
      <c r="P220" s="18">
        <v>27</v>
      </c>
      <c r="Q220" s="18" t="s">
        <v>183</v>
      </c>
      <c r="R220" s="18">
        <v>37</v>
      </c>
      <c r="S220" s="13" t="s">
        <v>184</v>
      </c>
      <c r="T220" s="18">
        <v>5</v>
      </c>
      <c r="U220" s="18" t="s">
        <v>189</v>
      </c>
    </row>
    <row r="221" spans="1:21" ht="15" customHeight="1">
      <c r="A221" s="19">
        <v>25</v>
      </c>
      <c r="B221" s="19">
        <v>2</v>
      </c>
      <c r="E221" s="19" t="s">
        <v>260</v>
      </c>
      <c r="F221" s="19" t="s">
        <v>216</v>
      </c>
      <c r="G221" s="19" t="s">
        <v>194</v>
      </c>
      <c r="I221" s="19">
        <v>20000</v>
      </c>
      <c r="J221" s="19" t="s">
        <v>180</v>
      </c>
      <c r="K221" s="27" t="s">
        <v>259</v>
      </c>
      <c r="L221" s="19" t="s">
        <v>259</v>
      </c>
      <c r="M221" s="19">
        <v>1</v>
      </c>
      <c r="N221" s="19" t="s">
        <v>244</v>
      </c>
      <c r="P221" s="19">
        <v>27</v>
      </c>
      <c r="Q221" s="19" t="s">
        <v>183</v>
      </c>
      <c r="R221" s="19">
        <v>37</v>
      </c>
      <c r="S221" s="9" t="s">
        <v>184</v>
      </c>
      <c r="T221" s="19">
        <v>5</v>
      </c>
      <c r="U221" s="19" t="s">
        <v>189</v>
      </c>
    </row>
    <row r="222" spans="1:21" ht="15" customHeight="1">
      <c r="A222" s="19">
        <v>25</v>
      </c>
      <c r="B222" s="19">
        <v>3</v>
      </c>
      <c r="E222" s="19" t="s">
        <v>192</v>
      </c>
      <c r="F222" s="19" t="s">
        <v>216</v>
      </c>
      <c r="G222" s="19" t="s">
        <v>194</v>
      </c>
      <c r="I222" s="19">
        <v>20000</v>
      </c>
      <c r="J222" s="19" t="s">
        <v>180</v>
      </c>
      <c r="K222" s="27" t="s">
        <v>259</v>
      </c>
      <c r="L222" s="19" t="s">
        <v>259</v>
      </c>
      <c r="M222" s="19">
        <v>0.5</v>
      </c>
      <c r="N222" s="19" t="s">
        <v>244</v>
      </c>
      <c r="P222" s="19">
        <v>27</v>
      </c>
      <c r="Q222" s="19" t="s">
        <v>183</v>
      </c>
      <c r="R222" s="19">
        <v>37</v>
      </c>
      <c r="S222" s="9" t="s">
        <v>184</v>
      </c>
      <c r="T222" s="19">
        <v>5</v>
      </c>
      <c r="U222" s="19" t="s">
        <v>189</v>
      </c>
    </row>
    <row r="223" spans="1:21" ht="15" customHeight="1">
      <c r="A223" s="19">
        <v>25</v>
      </c>
      <c r="B223" s="19">
        <v>4</v>
      </c>
      <c r="E223" s="19" t="s">
        <v>192</v>
      </c>
      <c r="F223" s="19" t="s">
        <v>216</v>
      </c>
      <c r="G223" s="19" t="s">
        <v>194</v>
      </c>
      <c r="I223" s="19">
        <v>20000</v>
      </c>
      <c r="J223" s="19" t="s">
        <v>180</v>
      </c>
      <c r="K223" s="27" t="s">
        <v>259</v>
      </c>
      <c r="L223" s="19" t="s">
        <v>259</v>
      </c>
      <c r="M223" s="19">
        <v>1</v>
      </c>
      <c r="N223" s="19" t="s">
        <v>244</v>
      </c>
      <c r="P223" s="19">
        <v>27</v>
      </c>
      <c r="Q223" s="19" t="s">
        <v>183</v>
      </c>
      <c r="R223" s="19">
        <v>37</v>
      </c>
      <c r="S223" s="9" t="s">
        <v>184</v>
      </c>
      <c r="T223" s="19">
        <v>5</v>
      </c>
      <c r="U223" s="19" t="s">
        <v>189</v>
      </c>
    </row>
    <row r="224" spans="1:21" ht="15" customHeight="1">
      <c r="A224" s="19">
        <v>25</v>
      </c>
      <c r="B224" s="19">
        <v>5</v>
      </c>
      <c r="E224" s="19" t="s">
        <v>192</v>
      </c>
      <c r="F224" s="19" t="s">
        <v>216</v>
      </c>
      <c r="G224" s="19" t="s">
        <v>194</v>
      </c>
      <c r="I224" s="19">
        <v>20000</v>
      </c>
      <c r="J224" s="19" t="s">
        <v>180</v>
      </c>
      <c r="K224" s="27" t="s">
        <v>259</v>
      </c>
      <c r="L224" s="19" t="s">
        <v>259</v>
      </c>
      <c r="M224" s="19">
        <v>0.5</v>
      </c>
      <c r="N224" s="19" t="s">
        <v>244</v>
      </c>
      <c r="P224" s="19">
        <v>27</v>
      </c>
      <c r="Q224" s="19" t="s">
        <v>183</v>
      </c>
      <c r="R224" s="19">
        <v>37</v>
      </c>
      <c r="S224" s="9" t="s">
        <v>184</v>
      </c>
      <c r="T224" s="19">
        <v>5</v>
      </c>
      <c r="U224" s="19" t="s">
        <v>189</v>
      </c>
    </row>
    <row r="225" spans="1:21" ht="15" customHeight="1">
      <c r="A225" s="19">
        <v>25</v>
      </c>
      <c r="B225" s="19">
        <v>6</v>
      </c>
      <c r="E225" s="19" t="s">
        <v>192</v>
      </c>
      <c r="F225" s="19" t="s">
        <v>216</v>
      </c>
      <c r="G225" s="19" t="s">
        <v>194</v>
      </c>
      <c r="I225" s="19">
        <v>20000</v>
      </c>
      <c r="J225" s="19" t="s">
        <v>180</v>
      </c>
      <c r="K225" s="27" t="s">
        <v>259</v>
      </c>
      <c r="L225" s="19" t="s">
        <v>259</v>
      </c>
      <c r="M225" s="19">
        <v>1</v>
      </c>
      <c r="N225" s="19" t="s">
        <v>244</v>
      </c>
      <c r="P225" s="19">
        <v>27</v>
      </c>
      <c r="Q225" s="19" t="s">
        <v>183</v>
      </c>
      <c r="R225" s="19">
        <v>37</v>
      </c>
      <c r="S225" s="9" t="s">
        <v>184</v>
      </c>
      <c r="T225" s="19">
        <v>5</v>
      </c>
      <c r="U225" s="19" t="s">
        <v>189</v>
      </c>
    </row>
    <row r="226" spans="1:21" s="18" customFormat="1" ht="15" customHeight="1">
      <c r="A226" s="41">
        <v>26</v>
      </c>
      <c r="B226" s="41">
        <v>1</v>
      </c>
      <c r="E226" s="18" t="s">
        <v>192</v>
      </c>
      <c r="F226" s="18" t="s">
        <v>261</v>
      </c>
      <c r="G226" s="18" t="s">
        <v>178</v>
      </c>
      <c r="I226" s="18">
        <v>20000</v>
      </c>
      <c r="J226" s="18" t="s">
        <v>180</v>
      </c>
      <c r="K226" s="41" t="s">
        <v>262</v>
      </c>
      <c r="L226" s="18" t="s">
        <v>262</v>
      </c>
      <c r="M226" s="18">
        <v>1</v>
      </c>
      <c r="N226" s="18" t="s">
        <v>244</v>
      </c>
      <c r="O226" s="80"/>
      <c r="P226" s="18">
        <v>24</v>
      </c>
      <c r="Q226" s="18" t="s">
        <v>183</v>
      </c>
      <c r="R226" s="18">
        <v>37</v>
      </c>
      <c r="S226" s="13" t="s">
        <v>184</v>
      </c>
      <c r="T226" s="18">
        <v>5</v>
      </c>
      <c r="U226" s="18" t="s">
        <v>189</v>
      </c>
    </row>
    <row r="227" spans="1:21" ht="15" customHeight="1">
      <c r="A227" s="27">
        <v>26</v>
      </c>
      <c r="B227" s="27">
        <v>2</v>
      </c>
      <c r="E227" s="19" t="s">
        <v>192</v>
      </c>
      <c r="F227" s="19" t="s">
        <v>261</v>
      </c>
      <c r="G227" s="19" t="s">
        <v>178</v>
      </c>
      <c r="I227" s="19">
        <v>20000</v>
      </c>
      <c r="J227" s="19" t="s">
        <v>180</v>
      </c>
      <c r="K227" s="27" t="s">
        <v>262</v>
      </c>
      <c r="L227" s="19" t="s">
        <v>262</v>
      </c>
      <c r="M227" s="19">
        <v>0.5</v>
      </c>
      <c r="N227" s="19" t="s">
        <v>244</v>
      </c>
      <c r="P227" s="19">
        <v>24</v>
      </c>
      <c r="Q227" s="19" t="s">
        <v>183</v>
      </c>
      <c r="R227" s="19">
        <v>37</v>
      </c>
      <c r="S227" s="9" t="s">
        <v>184</v>
      </c>
      <c r="T227" s="19">
        <v>5</v>
      </c>
      <c r="U227" s="19" t="s">
        <v>189</v>
      </c>
    </row>
    <row r="228" spans="1:21" ht="15" customHeight="1">
      <c r="A228" s="27">
        <v>26</v>
      </c>
      <c r="B228" s="27">
        <v>3</v>
      </c>
      <c r="E228" s="19" t="s">
        <v>192</v>
      </c>
      <c r="F228" s="19" t="s">
        <v>261</v>
      </c>
      <c r="G228" s="19" t="s">
        <v>178</v>
      </c>
      <c r="I228" s="19">
        <v>20000</v>
      </c>
      <c r="J228" s="19" t="s">
        <v>180</v>
      </c>
      <c r="K228" s="27" t="s">
        <v>262</v>
      </c>
      <c r="L228" s="19" t="s">
        <v>262</v>
      </c>
      <c r="M228" s="19">
        <v>0.25</v>
      </c>
      <c r="N228" s="19" t="s">
        <v>244</v>
      </c>
      <c r="P228" s="19">
        <v>24</v>
      </c>
      <c r="Q228" s="19" t="s">
        <v>183</v>
      </c>
      <c r="R228" s="19">
        <v>37</v>
      </c>
      <c r="S228" s="9" t="s">
        <v>184</v>
      </c>
      <c r="T228" s="19">
        <v>5</v>
      </c>
      <c r="U228" s="19" t="s">
        <v>189</v>
      </c>
    </row>
    <row r="229" spans="1:21" ht="15" customHeight="1">
      <c r="A229" s="27">
        <v>26</v>
      </c>
      <c r="B229" s="27">
        <v>4</v>
      </c>
      <c r="E229" s="19" t="s">
        <v>192</v>
      </c>
      <c r="F229" s="19" t="s">
        <v>261</v>
      </c>
      <c r="G229" s="19" t="s">
        <v>178</v>
      </c>
      <c r="I229" s="19">
        <v>20000</v>
      </c>
      <c r="J229" s="19" t="s">
        <v>180</v>
      </c>
      <c r="K229" s="27" t="s">
        <v>262</v>
      </c>
      <c r="L229" s="19" t="s">
        <v>262</v>
      </c>
      <c r="M229" s="19">
        <v>0.125</v>
      </c>
      <c r="N229" s="19" t="s">
        <v>244</v>
      </c>
      <c r="P229" s="19">
        <v>24</v>
      </c>
      <c r="Q229" s="19" t="s">
        <v>183</v>
      </c>
      <c r="R229" s="19">
        <v>37</v>
      </c>
      <c r="S229" s="9" t="s">
        <v>184</v>
      </c>
      <c r="T229" s="19">
        <v>5</v>
      </c>
      <c r="U229" s="19" t="s">
        <v>189</v>
      </c>
    </row>
    <row r="230" spans="1:21" ht="15" customHeight="1">
      <c r="A230" s="27">
        <v>26</v>
      </c>
      <c r="B230" s="27">
        <v>5</v>
      </c>
      <c r="E230" s="19" t="s">
        <v>192</v>
      </c>
      <c r="F230" s="19" t="s">
        <v>261</v>
      </c>
      <c r="G230" s="19" t="s">
        <v>178</v>
      </c>
      <c r="I230" s="19">
        <v>20000</v>
      </c>
      <c r="J230" s="19" t="s">
        <v>180</v>
      </c>
      <c r="K230" s="27" t="s">
        <v>262</v>
      </c>
      <c r="L230" s="19" t="s">
        <v>262</v>
      </c>
      <c r="M230" s="19">
        <v>6.25E-2</v>
      </c>
      <c r="N230" s="19" t="s">
        <v>244</v>
      </c>
      <c r="P230" s="19">
        <v>24</v>
      </c>
      <c r="Q230" s="19" t="s">
        <v>183</v>
      </c>
      <c r="R230" s="19">
        <v>37</v>
      </c>
      <c r="S230" s="9" t="s">
        <v>184</v>
      </c>
      <c r="T230" s="19">
        <v>5</v>
      </c>
      <c r="U230" s="19" t="s">
        <v>189</v>
      </c>
    </row>
    <row r="231" spans="1:21" ht="15" customHeight="1">
      <c r="A231" s="27">
        <v>26</v>
      </c>
      <c r="B231" s="27">
        <v>6</v>
      </c>
      <c r="E231" s="19" t="s">
        <v>192</v>
      </c>
      <c r="F231" s="19" t="s">
        <v>261</v>
      </c>
      <c r="G231" s="19" t="s">
        <v>178</v>
      </c>
      <c r="I231" s="19">
        <v>20000</v>
      </c>
      <c r="J231" s="19" t="s">
        <v>180</v>
      </c>
      <c r="K231" s="27" t="s">
        <v>262</v>
      </c>
      <c r="L231" s="19" t="s">
        <v>262</v>
      </c>
      <c r="M231" s="19">
        <v>3.125E-2</v>
      </c>
      <c r="N231" s="19" t="s">
        <v>244</v>
      </c>
      <c r="P231" s="19">
        <v>24</v>
      </c>
      <c r="Q231" s="19" t="s">
        <v>183</v>
      </c>
      <c r="R231" s="19">
        <v>37</v>
      </c>
      <c r="S231" s="9" t="s">
        <v>184</v>
      </c>
      <c r="T231" s="19">
        <v>5</v>
      </c>
      <c r="U231" s="19" t="s">
        <v>189</v>
      </c>
    </row>
    <row r="232" spans="1:21" ht="15" customHeight="1">
      <c r="A232" s="27">
        <v>26</v>
      </c>
      <c r="B232" s="27">
        <v>7</v>
      </c>
      <c r="E232" s="19" t="s">
        <v>192</v>
      </c>
      <c r="F232" s="19" t="s">
        <v>261</v>
      </c>
      <c r="G232" s="19" t="s">
        <v>178</v>
      </c>
      <c r="I232" s="19">
        <v>20000</v>
      </c>
      <c r="J232" s="19" t="s">
        <v>180</v>
      </c>
      <c r="K232" s="27" t="s">
        <v>262</v>
      </c>
      <c r="L232" s="19" t="s">
        <v>262</v>
      </c>
      <c r="M232" s="19">
        <v>1</v>
      </c>
      <c r="N232" s="19" t="s">
        <v>244</v>
      </c>
      <c r="P232" s="19">
        <v>24</v>
      </c>
      <c r="Q232" s="19" t="s">
        <v>183</v>
      </c>
      <c r="R232" s="19">
        <v>37</v>
      </c>
      <c r="S232" s="9" t="s">
        <v>184</v>
      </c>
      <c r="T232" s="19">
        <v>5</v>
      </c>
      <c r="U232" s="19" t="s">
        <v>189</v>
      </c>
    </row>
    <row r="233" spans="1:21" ht="15" customHeight="1">
      <c r="A233" s="27">
        <v>26</v>
      </c>
      <c r="B233" s="27">
        <v>8</v>
      </c>
      <c r="E233" s="19" t="s">
        <v>192</v>
      </c>
      <c r="F233" s="19" t="s">
        <v>261</v>
      </c>
      <c r="G233" s="19" t="s">
        <v>178</v>
      </c>
      <c r="I233" s="19">
        <v>20000</v>
      </c>
      <c r="J233" s="19" t="s">
        <v>180</v>
      </c>
      <c r="K233" s="27" t="s">
        <v>262</v>
      </c>
      <c r="L233" s="19" t="s">
        <v>262</v>
      </c>
      <c r="M233" s="19">
        <v>0.5</v>
      </c>
      <c r="N233" s="19" t="s">
        <v>244</v>
      </c>
      <c r="P233" s="19">
        <v>24</v>
      </c>
      <c r="Q233" s="19" t="s">
        <v>183</v>
      </c>
      <c r="R233" s="19">
        <v>37</v>
      </c>
      <c r="S233" s="9" t="s">
        <v>184</v>
      </c>
      <c r="T233" s="19">
        <v>5</v>
      </c>
      <c r="U233" s="19" t="s">
        <v>189</v>
      </c>
    </row>
    <row r="234" spans="1:21" ht="15" customHeight="1">
      <c r="A234" s="27">
        <v>26</v>
      </c>
      <c r="B234" s="27">
        <v>9</v>
      </c>
      <c r="E234" s="19" t="s">
        <v>192</v>
      </c>
      <c r="F234" s="19" t="s">
        <v>261</v>
      </c>
      <c r="G234" s="19" t="s">
        <v>178</v>
      </c>
      <c r="I234" s="19">
        <v>20000</v>
      </c>
      <c r="J234" s="19" t="s">
        <v>180</v>
      </c>
      <c r="K234" s="27" t="s">
        <v>262</v>
      </c>
      <c r="L234" s="19" t="s">
        <v>262</v>
      </c>
      <c r="M234" s="19">
        <v>0.25</v>
      </c>
      <c r="N234" s="19" t="s">
        <v>244</v>
      </c>
      <c r="P234" s="19">
        <v>24</v>
      </c>
      <c r="Q234" s="19" t="s">
        <v>183</v>
      </c>
      <c r="R234" s="19">
        <v>37</v>
      </c>
      <c r="S234" s="9" t="s">
        <v>184</v>
      </c>
      <c r="T234" s="19">
        <v>5</v>
      </c>
      <c r="U234" s="19" t="s">
        <v>189</v>
      </c>
    </row>
    <row r="235" spans="1:21" ht="15" customHeight="1">
      <c r="A235" s="27">
        <v>26</v>
      </c>
      <c r="B235" s="27">
        <v>10</v>
      </c>
      <c r="E235" s="19" t="s">
        <v>192</v>
      </c>
      <c r="F235" s="19" t="s">
        <v>261</v>
      </c>
      <c r="G235" s="19" t="s">
        <v>178</v>
      </c>
      <c r="I235" s="19">
        <v>20000</v>
      </c>
      <c r="J235" s="19" t="s">
        <v>180</v>
      </c>
      <c r="K235" s="27" t="s">
        <v>262</v>
      </c>
      <c r="L235" s="19" t="s">
        <v>262</v>
      </c>
      <c r="M235" s="19">
        <v>0.125</v>
      </c>
      <c r="N235" s="19" t="s">
        <v>244</v>
      </c>
      <c r="P235" s="19">
        <v>24</v>
      </c>
      <c r="Q235" s="19" t="s">
        <v>183</v>
      </c>
      <c r="R235" s="19">
        <v>37</v>
      </c>
      <c r="S235" s="9" t="s">
        <v>184</v>
      </c>
      <c r="T235" s="19">
        <v>5</v>
      </c>
      <c r="U235" s="19" t="s">
        <v>189</v>
      </c>
    </row>
    <row r="236" spans="1:21" ht="15" customHeight="1">
      <c r="A236" s="27">
        <v>26</v>
      </c>
      <c r="B236" s="27">
        <v>11</v>
      </c>
      <c r="E236" s="19" t="s">
        <v>192</v>
      </c>
      <c r="F236" s="19" t="s">
        <v>261</v>
      </c>
      <c r="G236" s="19" t="s">
        <v>178</v>
      </c>
      <c r="I236" s="19">
        <v>20000</v>
      </c>
      <c r="J236" s="19" t="s">
        <v>180</v>
      </c>
      <c r="K236" s="27" t="s">
        <v>262</v>
      </c>
      <c r="L236" s="19" t="s">
        <v>262</v>
      </c>
      <c r="M236" s="19">
        <v>6.25E-2</v>
      </c>
      <c r="N236" s="19" t="s">
        <v>244</v>
      </c>
      <c r="P236" s="19">
        <v>24</v>
      </c>
      <c r="Q236" s="19" t="s">
        <v>183</v>
      </c>
      <c r="R236" s="19">
        <v>37</v>
      </c>
      <c r="S236" s="9" t="s">
        <v>184</v>
      </c>
      <c r="T236" s="19">
        <v>5</v>
      </c>
      <c r="U236" s="19" t="s">
        <v>189</v>
      </c>
    </row>
    <row r="237" spans="1:21" ht="15" customHeight="1">
      <c r="A237" s="27">
        <v>26</v>
      </c>
      <c r="B237" s="27">
        <v>12</v>
      </c>
      <c r="E237" s="19" t="s">
        <v>192</v>
      </c>
      <c r="F237" s="19" t="s">
        <v>261</v>
      </c>
      <c r="G237" s="19" t="s">
        <v>178</v>
      </c>
      <c r="I237" s="19">
        <v>20000</v>
      </c>
      <c r="J237" s="19" t="s">
        <v>180</v>
      </c>
      <c r="K237" s="27" t="s">
        <v>262</v>
      </c>
      <c r="L237" s="19" t="s">
        <v>262</v>
      </c>
      <c r="M237" s="19">
        <v>3.125E-2</v>
      </c>
      <c r="N237" s="19" t="s">
        <v>244</v>
      </c>
      <c r="P237" s="19">
        <v>24</v>
      </c>
      <c r="Q237" s="19" t="s">
        <v>183</v>
      </c>
      <c r="R237" s="19">
        <v>37</v>
      </c>
      <c r="S237" s="9" t="s">
        <v>184</v>
      </c>
      <c r="T237" s="19">
        <v>5</v>
      </c>
      <c r="U237" s="19" t="s">
        <v>189</v>
      </c>
    </row>
    <row r="238" spans="1:21" ht="15" customHeight="1">
      <c r="A238" s="27">
        <v>26</v>
      </c>
      <c r="B238" s="27">
        <v>13</v>
      </c>
      <c r="E238" s="19" t="s">
        <v>192</v>
      </c>
      <c r="F238" s="19" t="s">
        <v>261</v>
      </c>
      <c r="G238" s="19" t="s">
        <v>178</v>
      </c>
      <c r="I238" s="19">
        <v>20000</v>
      </c>
      <c r="J238" s="19" t="s">
        <v>180</v>
      </c>
      <c r="K238" s="27" t="s">
        <v>262</v>
      </c>
      <c r="L238" s="19" t="s">
        <v>262</v>
      </c>
      <c r="M238" s="19">
        <v>1</v>
      </c>
      <c r="N238" s="19" t="s">
        <v>244</v>
      </c>
      <c r="P238" s="19">
        <v>24</v>
      </c>
      <c r="Q238" s="19" t="s">
        <v>183</v>
      </c>
      <c r="R238" s="19">
        <v>37</v>
      </c>
      <c r="S238" s="9" t="s">
        <v>184</v>
      </c>
      <c r="T238" s="19">
        <v>5</v>
      </c>
      <c r="U238" s="19" t="s">
        <v>189</v>
      </c>
    </row>
    <row r="239" spans="1:21" ht="15" customHeight="1">
      <c r="A239" s="27">
        <v>26</v>
      </c>
      <c r="B239" s="27">
        <v>14</v>
      </c>
      <c r="E239" s="19" t="s">
        <v>192</v>
      </c>
      <c r="F239" s="19" t="s">
        <v>261</v>
      </c>
      <c r="G239" s="19" t="s">
        <v>178</v>
      </c>
      <c r="I239" s="19">
        <v>20000</v>
      </c>
      <c r="J239" s="19" t="s">
        <v>180</v>
      </c>
      <c r="K239" s="27" t="s">
        <v>262</v>
      </c>
      <c r="L239" s="19" t="s">
        <v>262</v>
      </c>
      <c r="M239" s="19">
        <v>0.5</v>
      </c>
      <c r="N239" s="19" t="s">
        <v>244</v>
      </c>
      <c r="P239" s="19">
        <v>24</v>
      </c>
      <c r="Q239" s="19" t="s">
        <v>183</v>
      </c>
      <c r="R239" s="19">
        <v>37</v>
      </c>
      <c r="S239" s="9" t="s">
        <v>184</v>
      </c>
      <c r="T239" s="19">
        <v>5</v>
      </c>
      <c r="U239" s="19" t="s">
        <v>189</v>
      </c>
    </row>
    <row r="240" spans="1:21" ht="15" customHeight="1">
      <c r="A240" s="27">
        <v>26</v>
      </c>
      <c r="B240" s="27">
        <v>15</v>
      </c>
      <c r="E240" s="19" t="s">
        <v>192</v>
      </c>
      <c r="F240" s="19" t="s">
        <v>261</v>
      </c>
      <c r="G240" s="19" t="s">
        <v>178</v>
      </c>
      <c r="I240" s="19">
        <v>20000</v>
      </c>
      <c r="J240" s="19" t="s">
        <v>180</v>
      </c>
      <c r="K240" s="27" t="s">
        <v>262</v>
      </c>
      <c r="L240" s="19" t="s">
        <v>262</v>
      </c>
      <c r="M240" s="19">
        <v>0.25</v>
      </c>
      <c r="N240" s="19" t="s">
        <v>244</v>
      </c>
      <c r="P240" s="19">
        <v>24</v>
      </c>
      <c r="Q240" s="19" t="s">
        <v>183</v>
      </c>
      <c r="R240" s="19">
        <v>37</v>
      </c>
      <c r="S240" s="9" t="s">
        <v>184</v>
      </c>
      <c r="T240" s="19">
        <v>5</v>
      </c>
      <c r="U240" s="19" t="s">
        <v>189</v>
      </c>
    </row>
    <row r="241" spans="1:21" ht="15" customHeight="1">
      <c r="A241" s="27">
        <v>26</v>
      </c>
      <c r="B241" s="27">
        <v>16</v>
      </c>
      <c r="E241" s="19" t="s">
        <v>192</v>
      </c>
      <c r="F241" s="19" t="s">
        <v>261</v>
      </c>
      <c r="G241" s="19" t="s">
        <v>178</v>
      </c>
      <c r="I241" s="19">
        <v>20000</v>
      </c>
      <c r="J241" s="19" t="s">
        <v>180</v>
      </c>
      <c r="K241" s="27" t="s">
        <v>262</v>
      </c>
      <c r="L241" s="19" t="s">
        <v>262</v>
      </c>
      <c r="M241" s="19">
        <v>0.125</v>
      </c>
      <c r="N241" s="19" t="s">
        <v>244</v>
      </c>
      <c r="P241" s="19">
        <v>24</v>
      </c>
      <c r="Q241" s="19" t="s">
        <v>183</v>
      </c>
      <c r="R241" s="19">
        <v>37</v>
      </c>
      <c r="S241" s="9" t="s">
        <v>184</v>
      </c>
      <c r="T241" s="19">
        <v>5</v>
      </c>
      <c r="U241" s="19" t="s">
        <v>189</v>
      </c>
    </row>
    <row r="242" spans="1:21" ht="15" customHeight="1">
      <c r="A242" s="27">
        <v>26</v>
      </c>
      <c r="B242" s="27">
        <v>17</v>
      </c>
      <c r="E242" s="19" t="s">
        <v>192</v>
      </c>
      <c r="F242" s="19" t="s">
        <v>261</v>
      </c>
      <c r="G242" s="19" t="s">
        <v>178</v>
      </c>
      <c r="I242" s="19">
        <v>20000</v>
      </c>
      <c r="J242" s="19" t="s">
        <v>180</v>
      </c>
      <c r="K242" s="27" t="s">
        <v>262</v>
      </c>
      <c r="L242" s="19" t="s">
        <v>262</v>
      </c>
      <c r="M242" s="19">
        <v>6.25E-2</v>
      </c>
      <c r="N242" s="19" t="s">
        <v>244</v>
      </c>
      <c r="P242" s="19">
        <v>24</v>
      </c>
      <c r="Q242" s="19" t="s">
        <v>183</v>
      </c>
      <c r="R242" s="19">
        <v>37</v>
      </c>
      <c r="S242" s="9" t="s">
        <v>184</v>
      </c>
      <c r="T242" s="19">
        <v>5</v>
      </c>
      <c r="U242" s="19" t="s">
        <v>189</v>
      </c>
    </row>
    <row r="243" spans="1:21" ht="15" customHeight="1">
      <c r="A243" s="27">
        <v>26</v>
      </c>
      <c r="B243" s="27">
        <v>18</v>
      </c>
      <c r="E243" s="19" t="s">
        <v>192</v>
      </c>
      <c r="F243" s="19" t="s">
        <v>261</v>
      </c>
      <c r="G243" s="19" t="s">
        <v>178</v>
      </c>
      <c r="I243" s="19">
        <v>20000</v>
      </c>
      <c r="J243" s="19" t="s">
        <v>180</v>
      </c>
      <c r="K243" s="27" t="s">
        <v>262</v>
      </c>
      <c r="L243" s="19" t="s">
        <v>262</v>
      </c>
      <c r="M243" s="19">
        <v>3.125E-2</v>
      </c>
      <c r="N243" s="19" t="s">
        <v>244</v>
      </c>
      <c r="P243" s="19">
        <v>24</v>
      </c>
      <c r="Q243" s="19" t="s">
        <v>183</v>
      </c>
      <c r="R243" s="19">
        <v>37</v>
      </c>
      <c r="S243" s="9" t="s">
        <v>184</v>
      </c>
      <c r="T243" s="19">
        <v>5</v>
      </c>
      <c r="U243" s="19" t="s">
        <v>189</v>
      </c>
    </row>
    <row r="244" spans="1:21" ht="15" customHeight="1">
      <c r="A244" s="27">
        <v>26</v>
      </c>
      <c r="B244" s="27">
        <v>19</v>
      </c>
      <c r="E244" s="19" t="s">
        <v>192</v>
      </c>
      <c r="F244" s="19" t="s">
        <v>261</v>
      </c>
      <c r="G244" s="19" t="s">
        <v>178</v>
      </c>
      <c r="I244" s="19">
        <v>20000</v>
      </c>
      <c r="J244" s="19" t="s">
        <v>180</v>
      </c>
      <c r="K244" s="27" t="s">
        <v>262</v>
      </c>
      <c r="L244" s="19" t="s">
        <v>262</v>
      </c>
      <c r="M244" s="19">
        <v>1</v>
      </c>
      <c r="N244" s="19" t="s">
        <v>244</v>
      </c>
      <c r="P244" s="19">
        <v>24</v>
      </c>
      <c r="Q244" s="19" t="s">
        <v>183</v>
      </c>
      <c r="R244" s="19">
        <v>37</v>
      </c>
      <c r="S244" s="9" t="s">
        <v>184</v>
      </c>
      <c r="T244" s="19">
        <v>5</v>
      </c>
      <c r="U244" s="19" t="s">
        <v>189</v>
      </c>
    </row>
    <row r="245" spans="1:21" ht="15" customHeight="1">
      <c r="A245" s="27">
        <v>26</v>
      </c>
      <c r="B245" s="27">
        <v>20</v>
      </c>
      <c r="E245" s="19" t="s">
        <v>192</v>
      </c>
      <c r="F245" s="19" t="s">
        <v>261</v>
      </c>
      <c r="G245" s="19" t="s">
        <v>178</v>
      </c>
      <c r="I245" s="19">
        <v>20000</v>
      </c>
      <c r="J245" s="19" t="s">
        <v>180</v>
      </c>
      <c r="K245" s="27" t="s">
        <v>262</v>
      </c>
      <c r="L245" s="19" t="s">
        <v>262</v>
      </c>
      <c r="M245" s="19">
        <v>0.5</v>
      </c>
      <c r="N245" s="19" t="s">
        <v>244</v>
      </c>
      <c r="P245" s="19">
        <v>24</v>
      </c>
      <c r="Q245" s="19" t="s">
        <v>183</v>
      </c>
      <c r="R245" s="19">
        <v>37</v>
      </c>
      <c r="S245" s="9" t="s">
        <v>184</v>
      </c>
      <c r="T245" s="19">
        <v>5</v>
      </c>
      <c r="U245" s="19" t="s">
        <v>189</v>
      </c>
    </row>
    <row r="246" spans="1:21" ht="15" customHeight="1">
      <c r="A246" s="27">
        <v>26</v>
      </c>
      <c r="B246" s="27">
        <v>21</v>
      </c>
      <c r="E246" s="19" t="s">
        <v>192</v>
      </c>
      <c r="F246" s="19" t="s">
        <v>261</v>
      </c>
      <c r="G246" s="19" t="s">
        <v>178</v>
      </c>
      <c r="I246" s="19">
        <v>20000</v>
      </c>
      <c r="J246" s="19" t="s">
        <v>180</v>
      </c>
      <c r="K246" s="27" t="s">
        <v>262</v>
      </c>
      <c r="L246" s="19" t="s">
        <v>262</v>
      </c>
      <c r="M246" s="19">
        <v>0.25</v>
      </c>
      <c r="N246" s="19" t="s">
        <v>244</v>
      </c>
      <c r="P246" s="19">
        <v>24</v>
      </c>
      <c r="Q246" s="19" t="s">
        <v>183</v>
      </c>
      <c r="R246" s="19">
        <v>37</v>
      </c>
      <c r="S246" s="9" t="s">
        <v>184</v>
      </c>
      <c r="T246" s="19">
        <v>5</v>
      </c>
      <c r="U246" s="19" t="s">
        <v>189</v>
      </c>
    </row>
    <row r="247" spans="1:21" ht="15" customHeight="1">
      <c r="A247" s="27">
        <v>26</v>
      </c>
      <c r="B247" s="27">
        <v>22</v>
      </c>
      <c r="E247" s="19" t="s">
        <v>192</v>
      </c>
      <c r="F247" s="19" t="s">
        <v>261</v>
      </c>
      <c r="G247" s="19" t="s">
        <v>178</v>
      </c>
      <c r="I247" s="19">
        <v>20000</v>
      </c>
      <c r="J247" s="19" t="s">
        <v>180</v>
      </c>
      <c r="K247" s="27" t="s">
        <v>262</v>
      </c>
      <c r="L247" s="19" t="s">
        <v>262</v>
      </c>
      <c r="M247" s="19">
        <v>0.125</v>
      </c>
      <c r="N247" s="19" t="s">
        <v>244</v>
      </c>
      <c r="P247" s="19">
        <v>24</v>
      </c>
      <c r="Q247" s="19" t="s">
        <v>183</v>
      </c>
      <c r="R247" s="19">
        <v>37</v>
      </c>
      <c r="S247" s="9" t="s">
        <v>184</v>
      </c>
      <c r="T247" s="19">
        <v>5</v>
      </c>
      <c r="U247" s="19" t="s">
        <v>189</v>
      </c>
    </row>
    <row r="248" spans="1:21" ht="15" customHeight="1">
      <c r="A248" s="27">
        <v>26</v>
      </c>
      <c r="B248" s="27">
        <v>23</v>
      </c>
      <c r="E248" s="19" t="s">
        <v>192</v>
      </c>
      <c r="F248" s="19" t="s">
        <v>261</v>
      </c>
      <c r="G248" s="19" t="s">
        <v>178</v>
      </c>
      <c r="I248" s="19">
        <v>20000</v>
      </c>
      <c r="J248" s="19" t="s">
        <v>180</v>
      </c>
      <c r="K248" s="27" t="s">
        <v>262</v>
      </c>
      <c r="L248" s="19" t="s">
        <v>262</v>
      </c>
      <c r="M248" s="19">
        <v>6.25E-2</v>
      </c>
      <c r="N248" s="19" t="s">
        <v>244</v>
      </c>
      <c r="P248" s="19">
        <v>24</v>
      </c>
      <c r="Q248" s="19" t="s">
        <v>183</v>
      </c>
      <c r="R248" s="19">
        <v>37</v>
      </c>
      <c r="S248" s="9" t="s">
        <v>184</v>
      </c>
      <c r="T248" s="19">
        <v>5</v>
      </c>
      <c r="U248" s="19" t="s">
        <v>189</v>
      </c>
    </row>
    <row r="249" spans="1:21" ht="15" customHeight="1">
      <c r="A249" s="27">
        <v>26</v>
      </c>
      <c r="B249" s="27">
        <v>24</v>
      </c>
      <c r="E249" s="19" t="s">
        <v>192</v>
      </c>
      <c r="F249" s="19" t="s">
        <v>261</v>
      </c>
      <c r="G249" s="19" t="s">
        <v>178</v>
      </c>
      <c r="I249" s="19">
        <v>20000</v>
      </c>
      <c r="J249" s="19" t="s">
        <v>180</v>
      </c>
      <c r="K249" s="27" t="s">
        <v>262</v>
      </c>
      <c r="L249" s="19" t="s">
        <v>262</v>
      </c>
      <c r="M249" s="19">
        <v>3.125E-2</v>
      </c>
      <c r="N249" s="19" t="s">
        <v>244</v>
      </c>
      <c r="P249" s="19">
        <v>24</v>
      </c>
      <c r="Q249" s="19" t="s">
        <v>183</v>
      </c>
      <c r="R249" s="19">
        <v>37</v>
      </c>
      <c r="S249" s="9" t="s">
        <v>184</v>
      </c>
      <c r="T249" s="19">
        <v>5</v>
      </c>
      <c r="U249" s="19" t="s">
        <v>189</v>
      </c>
    </row>
    <row r="250" spans="1:21" ht="15" customHeight="1">
      <c r="A250" s="27">
        <v>26</v>
      </c>
      <c r="B250" s="27">
        <v>25</v>
      </c>
      <c r="E250" s="19" t="s">
        <v>192</v>
      </c>
      <c r="F250" s="19" t="s">
        <v>261</v>
      </c>
      <c r="G250" s="19" t="s">
        <v>178</v>
      </c>
      <c r="I250" s="19">
        <v>20000</v>
      </c>
      <c r="J250" s="19" t="s">
        <v>180</v>
      </c>
      <c r="K250" s="27" t="s">
        <v>262</v>
      </c>
      <c r="L250" s="19" t="s">
        <v>262</v>
      </c>
      <c r="M250" s="19">
        <v>1</v>
      </c>
      <c r="N250" s="19" t="s">
        <v>244</v>
      </c>
      <c r="P250" s="19">
        <v>24</v>
      </c>
      <c r="Q250" s="19" t="s">
        <v>183</v>
      </c>
      <c r="R250" s="19">
        <v>37</v>
      </c>
      <c r="S250" s="9" t="s">
        <v>184</v>
      </c>
      <c r="T250" s="19">
        <v>5</v>
      </c>
      <c r="U250" s="19" t="s">
        <v>189</v>
      </c>
    </row>
    <row r="251" spans="1:21" ht="15" customHeight="1">
      <c r="A251" s="27">
        <v>26</v>
      </c>
      <c r="B251" s="27">
        <v>26</v>
      </c>
      <c r="E251" s="19" t="s">
        <v>192</v>
      </c>
      <c r="F251" s="19" t="s">
        <v>261</v>
      </c>
      <c r="G251" s="19" t="s">
        <v>178</v>
      </c>
      <c r="I251" s="19">
        <v>20000</v>
      </c>
      <c r="J251" s="19" t="s">
        <v>180</v>
      </c>
      <c r="K251" s="27" t="s">
        <v>262</v>
      </c>
      <c r="L251" s="19" t="s">
        <v>262</v>
      </c>
      <c r="M251" s="19">
        <v>0.5</v>
      </c>
      <c r="N251" s="19" t="s">
        <v>244</v>
      </c>
      <c r="P251" s="19">
        <v>24</v>
      </c>
      <c r="Q251" s="19" t="s">
        <v>183</v>
      </c>
      <c r="R251" s="19">
        <v>37</v>
      </c>
      <c r="S251" s="9" t="s">
        <v>184</v>
      </c>
      <c r="T251" s="19">
        <v>5</v>
      </c>
      <c r="U251" s="19" t="s">
        <v>189</v>
      </c>
    </row>
    <row r="252" spans="1:21" ht="15" customHeight="1">
      <c r="A252" s="27">
        <v>26</v>
      </c>
      <c r="B252" s="27">
        <v>27</v>
      </c>
      <c r="E252" s="19" t="s">
        <v>192</v>
      </c>
      <c r="F252" s="19" t="s">
        <v>261</v>
      </c>
      <c r="G252" s="19" t="s">
        <v>178</v>
      </c>
      <c r="I252" s="19">
        <v>20000</v>
      </c>
      <c r="J252" s="19" t="s">
        <v>180</v>
      </c>
      <c r="K252" s="27" t="s">
        <v>262</v>
      </c>
      <c r="L252" s="19" t="s">
        <v>262</v>
      </c>
      <c r="M252" s="19">
        <v>0.25</v>
      </c>
      <c r="N252" s="19" t="s">
        <v>244</v>
      </c>
      <c r="P252" s="19">
        <v>24</v>
      </c>
      <c r="Q252" s="19" t="s">
        <v>183</v>
      </c>
      <c r="R252" s="19">
        <v>37</v>
      </c>
      <c r="S252" s="9" t="s">
        <v>184</v>
      </c>
      <c r="T252" s="19">
        <v>5</v>
      </c>
      <c r="U252" s="19" t="s">
        <v>189</v>
      </c>
    </row>
    <row r="253" spans="1:21" ht="15" customHeight="1">
      <c r="A253" s="27">
        <v>26</v>
      </c>
      <c r="B253" s="27">
        <v>28</v>
      </c>
      <c r="E253" s="19" t="s">
        <v>192</v>
      </c>
      <c r="F253" s="19" t="s">
        <v>261</v>
      </c>
      <c r="G253" s="19" t="s">
        <v>178</v>
      </c>
      <c r="I253" s="19">
        <v>20000</v>
      </c>
      <c r="J253" s="19" t="s">
        <v>180</v>
      </c>
      <c r="K253" s="27" t="s">
        <v>262</v>
      </c>
      <c r="L253" s="19" t="s">
        <v>262</v>
      </c>
      <c r="M253" s="19">
        <v>0.125</v>
      </c>
      <c r="N253" s="19" t="s">
        <v>244</v>
      </c>
      <c r="P253" s="19">
        <v>24</v>
      </c>
      <c r="Q253" s="19" t="s">
        <v>183</v>
      </c>
      <c r="R253" s="19">
        <v>37</v>
      </c>
      <c r="S253" s="9" t="s">
        <v>184</v>
      </c>
      <c r="T253" s="19">
        <v>5</v>
      </c>
      <c r="U253" s="19" t="s">
        <v>189</v>
      </c>
    </row>
    <row r="254" spans="1:21" ht="15" customHeight="1">
      <c r="A254" s="27">
        <v>26</v>
      </c>
      <c r="B254" s="27">
        <v>29</v>
      </c>
      <c r="E254" s="19" t="s">
        <v>192</v>
      </c>
      <c r="F254" s="19" t="s">
        <v>261</v>
      </c>
      <c r="G254" s="19" t="s">
        <v>178</v>
      </c>
      <c r="I254" s="19">
        <v>20000</v>
      </c>
      <c r="J254" s="19" t="s">
        <v>180</v>
      </c>
      <c r="K254" s="27" t="s">
        <v>262</v>
      </c>
      <c r="L254" s="19" t="s">
        <v>262</v>
      </c>
      <c r="M254" s="19">
        <v>6.25E-2</v>
      </c>
      <c r="N254" s="19" t="s">
        <v>244</v>
      </c>
      <c r="P254" s="19">
        <v>24</v>
      </c>
      <c r="Q254" s="19" t="s">
        <v>183</v>
      </c>
      <c r="R254" s="19">
        <v>37</v>
      </c>
      <c r="S254" s="9" t="s">
        <v>184</v>
      </c>
      <c r="T254" s="19">
        <v>5</v>
      </c>
      <c r="U254" s="19" t="s">
        <v>189</v>
      </c>
    </row>
    <row r="255" spans="1:21" ht="15" customHeight="1">
      <c r="A255" s="27">
        <v>26</v>
      </c>
      <c r="B255" s="27">
        <v>30</v>
      </c>
      <c r="E255" s="19" t="s">
        <v>192</v>
      </c>
      <c r="F255" s="62" t="s">
        <v>261</v>
      </c>
      <c r="G255" s="19" t="s">
        <v>178</v>
      </c>
      <c r="I255" s="19">
        <v>20000</v>
      </c>
      <c r="J255" s="19" t="s">
        <v>180</v>
      </c>
      <c r="K255" s="61" t="s">
        <v>262</v>
      </c>
      <c r="L255" s="19" t="s">
        <v>262</v>
      </c>
      <c r="M255" s="19">
        <v>3.125E-2</v>
      </c>
      <c r="N255" s="19" t="s">
        <v>244</v>
      </c>
      <c r="P255" s="19">
        <v>24</v>
      </c>
      <c r="Q255" s="19" t="s">
        <v>183</v>
      </c>
      <c r="R255" s="19">
        <v>37</v>
      </c>
      <c r="S255" s="9" t="s">
        <v>184</v>
      </c>
      <c r="T255" s="19">
        <v>5</v>
      </c>
      <c r="U255" s="19" t="s">
        <v>189</v>
      </c>
    </row>
    <row r="256" spans="1:21" s="18" customFormat="1" ht="15" customHeight="1">
      <c r="A256" s="18">
        <v>27</v>
      </c>
      <c r="B256" s="18">
        <v>1</v>
      </c>
      <c r="E256" s="18" t="s">
        <v>229</v>
      </c>
      <c r="F256" s="19" t="s">
        <v>193</v>
      </c>
      <c r="G256" s="18" t="s">
        <v>194</v>
      </c>
      <c r="H256" s="18" t="s">
        <v>203</v>
      </c>
      <c r="I256" s="18">
        <v>10000</v>
      </c>
      <c r="J256" s="18" t="s">
        <v>180</v>
      </c>
      <c r="K256" s="27" t="s">
        <v>263</v>
      </c>
      <c r="O256" s="80"/>
      <c r="P256" s="18">
        <v>24</v>
      </c>
      <c r="Q256" s="18" t="s">
        <v>183</v>
      </c>
      <c r="R256" s="18">
        <v>37</v>
      </c>
      <c r="S256" s="13" t="s">
        <v>184</v>
      </c>
      <c r="T256" s="18">
        <v>5</v>
      </c>
      <c r="U256" s="18" t="s">
        <v>189</v>
      </c>
    </row>
    <row r="257" spans="1:21" ht="15" customHeight="1">
      <c r="A257" s="19">
        <v>27</v>
      </c>
      <c r="B257" s="19">
        <v>2</v>
      </c>
      <c r="E257" s="19" t="s">
        <v>229</v>
      </c>
      <c r="F257" s="19" t="s">
        <v>193</v>
      </c>
      <c r="G257" s="19" t="s">
        <v>194</v>
      </c>
      <c r="H257" s="19" t="s">
        <v>203</v>
      </c>
      <c r="I257" s="19">
        <v>10000</v>
      </c>
      <c r="J257" s="19" t="s">
        <v>180</v>
      </c>
      <c r="K257" s="27" t="s">
        <v>263</v>
      </c>
      <c r="P257" s="19">
        <v>72</v>
      </c>
      <c r="Q257" s="19" t="s">
        <v>183</v>
      </c>
      <c r="R257" s="19">
        <v>37</v>
      </c>
      <c r="S257" s="9" t="s">
        <v>184</v>
      </c>
      <c r="T257" s="19">
        <v>5</v>
      </c>
      <c r="U257" s="19" t="s">
        <v>189</v>
      </c>
    </row>
    <row r="258" spans="1:21" ht="15" customHeight="1">
      <c r="A258" s="19">
        <v>27</v>
      </c>
      <c r="B258" s="19">
        <v>3</v>
      </c>
      <c r="E258" s="19" t="s">
        <v>229</v>
      </c>
      <c r="F258" s="19" t="s">
        <v>193</v>
      </c>
      <c r="G258" s="19" t="s">
        <v>194</v>
      </c>
      <c r="H258" s="19" t="s">
        <v>203</v>
      </c>
      <c r="I258" s="19">
        <v>10000</v>
      </c>
      <c r="J258" s="19" t="s">
        <v>180</v>
      </c>
      <c r="K258" s="27" t="s">
        <v>263</v>
      </c>
      <c r="P258" s="19">
        <v>168</v>
      </c>
      <c r="Q258" s="19" t="s">
        <v>183</v>
      </c>
      <c r="R258" s="19">
        <v>37</v>
      </c>
      <c r="S258" s="9" t="s">
        <v>184</v>
      </c>
      <c r="T258" s="19">
        <v>5</v>
      </c>
      <c r="U258" s="19" t="s">
        <v>189</v>
      </c>
    </row>
    <row r="259" spans="1:21" ht="15" customHeight="1">
      <c r="A259" s="27">
        <v>27</v>
      </c>
      <c r="B259" s="27">
        <v>4</v>
      </c>
      <c r="E259" s="19" t="s">
        <v>229</v>
      </c>
      <c r="F259" s="19" t="s">
        <v>193</v>
      </c>
      <c r="G259" s="19" t="s">
        <v>194</v>
      </c>
      <c r="H259" s="19" t="s">
        <v>203</v>
      </c>
      <c r="I259" s="19">
        <v>10000</v>
      </c>
      <c r="J259" s="19" t="s">
        <v>180</v>
      </c>
      <c r="K259" s="27" t="s">
        <v>263</v>
      </c>
      <c r="P259" s="19">
        <v>24</v>
      </c>
      <c r="Q259" s="19" t="s">
        <v>183</v>
      </c>
      <c r="R259" s="19">
        <v>37</v>
      </c>
      <c r="S259" s="9" t="s">
        <v>184</v>
      </c>
      <c r="T259" s="19">
        <v>5</v>
      </c>
      <c r="U259" s="19" t="s">
        <v>189</v>
      </c>
    </row>
    <row r="260" spans="1:21" ht="15" customHeight="1">
      <c r="A260" s="27">
        <v>27</v>
      </c>
      <c r="B260" s="27">
        <v>5</v>
      </c>
      <c r="E260" s="19" t="s">
        <v>229</v>
      </c>
      <c r="F260" s="19" t="s">
        <v>193</v>
      </c>
      <c r="G260" s="19" t="s">
        <v>194</v>
      </c>
      <c r="H260" s="19" t="s">
        <v>203</v>
      </c>
      <c r="I260" s="19">
        <v>10000</v>
      </c>
      <c r="J260" s="19" t="s">
        <v>180</v>
      </c>
      <c r="K260" s="27" t="s">
        <v>263</v>
      </c>
      <c r="P260" s="19">
        <v>72</v>
      </c>
      <c r="Q260" s="19" t="s">
        <v>183</v>
      </c>
      <c r="R260" s="19">
        <v>37</v>
      </c>
      <c r="S260" s="9" t="s">
        <v>184</v>
      </c>
      <c r="T260" s="19">
        <v>5</v>
      </c>
      <c r="U260" s="19" t="s">
        <v>189</v>
      </c>
    </row>
    <row r="261" spans="1:21" ht="15" customHeight="1">
      <c r="A261" s="27">
        <v>27</v>
      </c>
      <c r="B261" s="27">
        <v>6</v>
      </c>
      <c r="E261" s="19" t="s">
        <v>229</v>
      </c>
      <c r="F261" s="19" t="s">
        <v>193</v>
      </c>
      <c r="G261" s="19" t="s">
        <v>194</v>
      </c>
      <c r="H261" s="19" t="s">
        <v>203</v>
      </c>
      <c r="I261" s="19">
        <v>10000</v>
      </c>
      <c r="J261" s="19" t="s">
        <v>180</v>
      </c>
      <c r="K261" s="27" t="s">
        <v>263</v>
      </c>
      <c r="P261" s="19">
        <v>168</v>
      </c>
      <c r="Q261" s="19" t="s">
        <v>183</v>
      </c>
      <c r="R261" s="19">
        <v>37</v>
      </c>
      <c r="S261" s="9" t="s">
        <v>184</v>
      </c>
      <c r="T261" s="19">
        <v>5</v>
      </c>
      <c r="U261" s="19" t="s">
        <v>189</v>
      </c>
    </row>
    <row r="262" spans="1:21" ht="15" customHeight="1">
      <c r="A262" s="27">
        <v>27</v>
      </c>
      <c r="B262" s="27">
        <v>7</v>
      </c>
      <c r="E262" s="19" t="s">
        <v>229</v>
      </c>
      <c r="F262" s="19" t="s">
        <v>193</v>
      </c>
      <c r="G262" s="19" t="s">
        <v>194</v>
      </c>
      <c r="H262" s="19" t="s">
        <v>203</v>
      </c>
      <c r="I262" s="19">
        <v>10000</v>
      </c>
      <c r="J262" s="19" t="s">
        <v>180</v>
      </c>
      <c r="K262" s="27" t="s">
        <v>263</v>
      </c>
      <c r="P262" s="19">
        <v>24</v>
      </c>
      <c r="Q262" s="19" t="s">
        <v>183</v>
      </c>
      <c r="R262" s="19">
        <v>37</v>
      </c>
      <c r="S262" s="9" t="s">
        <v>184</v>
      </c>
      <c r="T262" s="19">
        <v>5</v>
      </c>
      <c r="U262" s="19" t="s">
        <v>189</v>
      </c>
    </row>
    <row r="263" spans="1:21" ht="15" customHeight="1">
      <c r="A263" s="27">
        <v>27</v>
      </c>
      <c r="B263" s="27">
        <v>8</v>
      </c>
      <c r="E263" s="19" t="s">
        <v>229</v>
      </c>
      <c r="F263" s="19" t="s">
        <v>193</v>
      </c>
      <c r="G263" s="19" t="s">
        <v>194</v>
      </c>
      <c r="H263" s="19" t="s">
        <v>203</v>
      </c>
      <c r="I263" s="19">
        <v>10000</v>
      </c>
      <c r="J263" s="19" t="s">
        <v>180</v>
      </c>
      <c r="K263" s="27" t="s">
        <v>263</v>
      </c>
      <c r="P263" s="19">
        <v>72</v>
      </c>
      <c r="Q263" s="19" t="s">
        <v>183</v>
      </c>
      <c r="R263" s="19">
        <v>37</v>
      </c>
      <c r="S263" s="9" t="s">
        <v>184</v>
      </c>
      <c r="T263" s="19">
        <v>5</v>
      </c>
      <c r="U263" s="19" t="s">
        <v>189</v>
      </c>
    </row>
    <row r="264" spans="1:21" ht="15" customHeight="1">
      <c r="A264" s="27">
        <v>27</v>
      </c>
      <c r="B264" s="27">
        <v>9</v>
      </c>
      <c r="E264" s="19" t="s">
        <v>229</v>
      </c>
      <c r="F264" s="19" t="s">
        <v>193</v>
      </c>
      <c r="G264" s="19" t="s">
        <v>194</v>
      </c>
      <c r="H264" s="19" t="s">
        <v>203</v>
      </c>
      <c r="I264" s="19">
        <v>10000</v>
      </c>
      <c r="J264" s="19" t="s">
        <v>180</v>
      </c>
      <c r="K264" s="27" t="s">
        <v>263</v>
      </c>
      <c r="P264" s="19">
        <v>168</v>
      </c>
      <c r="Q264" s="19" t="s">
        <v>183</v>
      </c>
      <c r="R264" s="19">
        <v>37</v>
      </c>
      <c r="S264" s="9" t="s">
        <v>184</v>
      </c>
      <c r="T264" s="19">
        <v>5</v>
      </c>
      <c r="U264" s="19" t="s">
        <v>189</v>
      </c>
    </row>
    <row r="265" spans="1:21" ht="15" customHeight="1">
      <c r="A265" s="27">
        <v>27</v>
      </c>
      <c r="B265" s="27">
        <v>10</v>
      </c>
      <c r="E265" s="19" t="s">
        <v>229</v>
      </c>
      <c r="F265" s="19" t="s">
        <v>193</v>
      </c>
      <c r="G265" s="19" t="s">
        <v>194</v>
      </c>
      <c r="H265" s="19" t="s">
        <v>203</v>
      </c>
      <c r="I265" s="19">
        <v>10000</v>
      </c>
      <c r="J265" s="19" t="s">
        <v>180</v>
      </c>
      <c r="K265" s="27" t="s">
        <v>263</v>
      </c>
      <c r="P265" s="19">
        <v>24</v>
      </c>
      <c r="Q265" s="19" t="s">
        <v>183</v>
      </c>
      <c r="R265" s="19">
        <v>37</v>
      </c>
      <c r="S265" s="9" t="s">
        <v>184</v>
      </c>
      <c r="T265" s="19">
        <v>5</v>
      </c>
      <c r="U265" s="19" t="s">
        <v>189</v>
      </c>
    </row>
    <row r="266" spans="1:21" ht="15" customHeight="1">
      <c r="A266" s="27">
        <v>27</v>
      </c>
      <c r="B266" s="27">
        <v>11</v>
      </c>
      <c r="E266" s="19" t="s">
        <v>229</v>
      </c>
      <c r="F266" s="19" t="s">
        <v>193</v>
      </c>
      <c r="G266" s="19" t="s">
        <v>194</v>
      </c>
      <c r="H266" s="19" t="s">
        <v>203</v>
      </c>
      <c r="I266" s="19">
        <v>10000</v>
      </c>
      <c r="J266" s="19" t="s">
        <v>180</v>
      </c>
      <c r="K266" s="27" t="s">
        <v>263</v>
      </c>
      <c r="P266" s="19">
        <v>72</v>
      </c>
      <c r="Q266" s="19" t="s">
        <v>183</v>
      </c>
      <c r="R266" s="19">
        <v>37</v>
      </c>
      <c r="S266" s="9" t="s">
        <v>184</v>
      </c>
      <c r="T266" s="19">
        <v>5</v>
      </c>
      <c r="U266" s="19" t="s">
        <v>189</v>
      </c>
    </row>
    <row r="267" spans="1:21" ht="15" customHeight="1">
      <c r="A267" s="27">
        <v>27</v>
      </c>
      <c r="B267" s="27">
        <v>12</v>
      </c>
      <c r="E267" s="19" t="s">
        <v>229</v>
      </c>
      <c r="F267" s="19" t="s">
        <v>193</v>
      </c>
      <c r="G267" s="19" t="s">
        <v>194</v>
      </c>
      <c r="H267" s="19" t="s">
        <v>203</v>
      </c>
      <c r="I267" s="19">
        <v>10000</v>
      </c>
      <c r="J267" s="19" t="s">
        <v>180</v>
      </c>
      <c r="K267" s="27" t="s">
        <v>263</v>
      </c>
      <c r="P267" s="19">
        <v>168</v>
      </c>
      <c r="Q267" s="19" t="s">
        <v>183</v>
      </c>
      <c r="R267" s="19">
        <v>37</v>
      </c>
      <c r="S267" s="9" t="s">
        <v>184</v>
      </c>
      <c r="T267" s="19">
        <v>5</v>
      </c>
      <c r="U267" s="19" t="s">
        <v>189</v>
      </c>
    </row>
    <row r="268" spans="1:21" ht="15" customHeight="1">
      <c r="A268" s="27">
        <v>27</v>
      </c>
      <c r="B268" s="27">
        <v>13</v>
      </c>
      <c r="E268" s="19" t="s">
        <v>229</v>
      </c>
      <c r="F268" s="19" t="s">
        <v>193</v>
      </c>
      <c r="G268" s="19" t="s">
        <v>194</v>
      </c>
      <c r="H268" s="19" t="s">
        <v>203</v>
      </c>
      <c r="I268" s="19">
        <v>10000</v>
      </c>
      <c r="J268" s="19" t="s">
        <v>180</v>
      </c>
      <c r="K268" s="27" t="s">
        <v>263</v>
      </c>
      <c r="P268" s="19">
        <v>24</v>
      </c>
      <c r="Q268" s="19" t="s">
        <v>183</v>
      </c>
      <c r="R268" s="19">
        <v>37</v>
      </c>
      <c r="S268" s="9" t="s">
        <v>184</v>
      </c>
      <c r="T268" s="19">
        <v>5</v>
      </c>
      <c r="U268" s="19" t="s">
        <v>189</v>
      </c>
    </row>
    <row r="269" spans="1:21" ht="15" customHeight="1">
      <c r="A269" s="27">
        <v>27</v>
      </c>
      <c r="B269" s="27">
        <v>14</v>
      </c>
      <c r="E269" s="19" t="s">
        <v>229</v>
      </c>
      <c r="F269" s="19" t="s">
        <v>193</v>
      </c>
      <c r="G269" s="19" t="s">
        <v>194</v>
      </c>
      <c r="H269" s="19" t="s">
        <v>203</v>
      </c>
      <c r="I269" s="19">
        <v>10000</v>
      </c>
      <c r="J269" s="19" t="s">
        <v>180</v>
      </c>
      <c r="K269" s="27" t="s">
        <v>263</v>
      </c>
      <c r="P269" s="19">
        <v>72</v>
      </c>
      <c r="Q269" s="19" t="s">
        <v>183</v>
      </c>
      <c r="R269" s="19">
        <v>37</v>
      </c>
      <c r="S269" s="9" t="s">
        <v>184</v>
      </c>
      <c r="T269" s="19">
        <v>5</v>
      </c>
      <c r="U269" s="19" t="s">
        <v>189</v>
      </c>
    </row>
    <row r="270" spans="1:21" ht="15" customHeight="1">
      <c r="A270" s="27">
        <v>27</v>
      </c>
      <c r="B270" s="27">
        <v>15</v>
      </c>
      <c r="E270" s="19" t="s">
        <v>229</v>
      </c>
      <c r="F270" s="19" t="s">
        <v>193</v>
      </c>
      <c r="G270" s="19" t="s">
        <v>194</v>
      </c>
      <c r="H270" s="19" t="s">
        <v>203</v>
      </c>
      <c r="I270" s="19">
        <v>10000</v>
      </c>
      <c r="J270" s="19" t="s">
        <v>180</v>
      </c>
      <c r="K270" s="27" t="s">
        <v>263</v>
      </c>
      <c r="P270" s="19">
        <v>168</v>
      </c>
      <c r="Q270" s="19" t="s">
        <v>183</v>
      </c>
      <c r="R270" s="19">
        <v>37</v>
      </c>
      <c r="S270" s="9" t="s">
        <v>184</v>
      </c>
      <c r="T270" s="19">
        <v>5</v>
      </c>
      <c r="U270" s="19" t="s">
        <v>189</v>
      </c>
    </row>
    <row r="271" spans="1:21" ht="15" customHeight="1">
      <c r="A271" s="27">
        <v>27</v>
      </c>
      <c r="B271" s="27">
        <v>16</v>
      </c>
      <c r="E271" s="19" t="s">
        <v>229</v>
      </c>
      <c r="F271" s="19" t="s">
        <v>193</v>
      </c>
      <c r="G271" s="19" t="s">
        <v>194</v>
      </c>
      <c r="H271" s="19" t="s">
        <v>203</v>
      </c>
      <c r="I271" s="19">
        <v>10000</v>
      </c>
      <c r="J271" s="19" t="s">
        <v>180</v>
      </c>
      <c r="K271" s="27" t="s">
        <v>263</v>
      </c>
      <c r="P271" s="19">
        <v>24</v>
      </c>
      <c r="Q271" s="19" t="s">
        <v>183</v>
      </c>
      <c r="R271" s="19">
        <v>37</v>
      </c>
      <c r="S271" s="9" t="s">
        <v>184</v>
      </c>
      <c r="T271" s="19">
        <v>5</v>
      </c>
      <c r="U271" s="19" t="s">
        <v>189</v>
      </c>
    </row>
    <row r="272" spans="1:21" ht="15" customHeight="1">
      <c r="A272" s="27">
        <v>27</v>
      </c>
      <c r="B272" s="27">
        <v>17</v>
      </c>
      <c r="E272" s="19" t="s">
        <v>229</v>
      </c>
      <c r="F272" s="19" t="s">
        <v>193</v>
      </c>
      <c r="G272" s="19" t="s">
        <v>194</v>
      </c>
      <c r="H272" s="19" t="s">
        <v>203</v>
      </c>
      <c r="I272" s="19">
        <v>10000</v>
      </c>
      <c r="J272" s="19" t="s">
        <v>180</v>
      </c>
      <c r="K272" s="27" t="s">
        <v>263</v>
      </c>
      <c r="P272" s="19">
        <v>72</v>
      </c>
      <c r="Q272" s="19" t="s">
        <v>183</v>
      </c>
      <c r="R272" s="19">
        <v>37</v>
      </c>
      <c r="S272" s="9" t="s">
        <v>184</v>
      </c>
      <c r="T272" s="19">
        <v>5</v>
      </c>
      <c r="U272" s="19" t="s">
        <v>189</v>
      </c>
    </row>
    <row r="273" spans="1:21" ht="15" customHeight="1">
      <c r="A273" s="27">
        <v>27</v>
      </c>
      <c r="B273" s="27">
        <v>18</v>
      </c>
      <c r="E273" s="19" t="s">
        <v>229</v>
      </c>
      <c r="F273" s="19" t="s">
        <v>193</v>
      </c>
      <c r="G273" s="19" t="s">
        <v>194</v>
      </c>
      <c r="H273" s="19" t="s">
        <v>203</v>
      </c>
      <c r="I273" s="19">
        <v>10000</v>
      </c>
      <c r="J273" s="19" t="s">
        <v>180</v>
      </c>
      <c r="K273" s="27" t="s">
        <v>263</v>
      </c>
      <c r="P273" s="19">
        <v>168</v>
      </c>
      <c r="Q273" s="19" t="s">
        <v>183</v>
      </c>
      <c r="R273" s="19">
        <v>37</v>
      </c>
      <c r="S273" s="9" t="s">
        <v>184</v>
      </c>
      <c r="T273" s="19">
        <v>5</v>
      </c>
      <c r="U273" s="19" t="s">
        <v>189</v>
      </c>
    </row>
    <row r="274" spans="1:21" s="18" customFormat="1" ht="15" customHeight="1">
      <c r="A274" s="18">
        <v>28</v>
      </c>
      <c r="B274" s="18">
        <v>1</v>
      </c>
      <c r="E274" s="18" t="s">
        <v>192</v>
      </c>
      <c r="F274" s="18" t="s">
        <v>264</v>
      </c>
      <c r="G274" s="18" t="s">
        <v>178</v>
      </c>
      <c r="H274" s="18" t="s">
        <v>203</v>
      </c>
      <c r="I274" s="18">
        <v>10000</v>
      </c>
      <c r="J274" s="18" t="s">
        <v>180</v>
      </c>
      <c r="K274" s="41" t="s">
        <v>265</v>
      </c>
      <c r="L274" s="18" t="s">
        <v>265</v>
      </c>
      <c r="M274" s="18">
        <v>3.125</v>
      </c>
      <c r="N274" s="18" t="s">
        <v>205</v>
      </c>
      <c r="O274" s="80"/>
      <c r="R274" s="18">
        <v>37</v>
      </c>
      <c r="S274" s="13" t="s">
        <v>184</v>
      </c>
      <c r="T274" s="18">
        <v>5</v>
      </c>
      <c r="U274" s="18" t="s">
        <v>189</v>
      </c>
    </row>
    <row r="275" spans="1:21" ht="15" customHeight="1">
      <c r="A275" s="19">
        <v>28</v>
      </c>
      <c r="B275" s="19">
        <v>2</v>
      </c>
      <c r="E275" s="19" t="s">
        <v>192</v>
      </c>
      <c r="F275" s="19" t="s">
        <v>264</v>
      </c>
      <c r="G275" s="19" t="s">
        <v>178</v>
      </c>
      <c r="H275" s="19" t="s">
        <v>203</v>
      </c>
      <c r="I275" s="19">
        <v>10000</v>
      </c>
      <c r="J275" s="19" t="s">
        <v>180</v>
      </c>
      <c r="K275" s="27" t="s">
        <v>265</v>
      </c>
      <c r="L275" s="19" t="s">
        <v>265</v>
      </c>
      <c r="M275" s="19">
        <v>6.25</v>
      </c>
      <c r="N275" s="19" t="s">
        <v>205</v>
      </c>
      <c r="R275" s="19">
        <v>37</v>
      </c>
      <c r="S275" s="9" t="s">
        <v>184</v>
      </c>
      <c r="T275" s="19">
        <v>5</v>
      </c>
      <c r="U275" s="19" t="s">
        <v>189</v>
      </c>
    </row>
    <row r="276" spans="1:21" ht="15" customHeight="1">
      <c r="A276" s="19">
        <v>28</v>
      </c>
      <c r="B276" s="19">
        <v>3</v>
      </c>
      <c r="E276" s="19" t="s">
        <v>192</v>
      </c>
      <c r="F276" s="19" t="s">
        <v>264</v>
      </c>
      <c r="G276" s="19" t="s">
        <v>178</v>
      </c>
      <c r="H276" s="19" t="s">
        <v>203</v>
      </c>
      <c r="I276" s="19">
        <v>10000</v>
      </c>
      <c r="J276" s="19" t="s">
        <v>180</v>
      </c>
      <c r="K276" s="27" t="s">
        <v>265</v>
      </c>
      <c r="L276" s="19" t="s">
        <v>265</v>
      </c>
      <c r="M276" s="19">
        <v>12.5</v>
      </c>
      <c r="N276" s="19" t="s">
        <v>205</v>
      </c>
      <c r="R276" s="19">
        <v>37</v>
      </c>
      <c r="S276" s="9" t="s">
        <v>184</v>
      </c>
      <c r="T276" s="19">
        <v>5</v>
      </c>
      <c r="U276" s="19" t="s">
        <v>189</v>
      </c>
    </row>
    <row r="277" spans="1:21" ht="15" customHeight="1">
      <c r="A277" s="19">
        <v>28</v>
      </c>
      <c r="B277" s="19">
        <v>4</v>
      </c>
      <c r="E277" s="19" t="s">
        <v>192</v>
      </c>
      <c r="F277" s="19" t="s">
        <v>264</v>
      </c>
      <c r="G277" s="19" t="s">
        <v>178</v>
      </c>
      <c r="H277" s="19" t="s">
        <v>203</v>
      </c>
      <c r="I277" s="19">
        <v>10000</v>
      </c>
      <c r="J277" s="19" t="s">
        <v>180</v>
      </c>
      <c r="K277" s="27" t="s">
        <v>265</v>
      </c>
      <c r="L277" s="19" t="s">
        <v>265</v>
      </c>
      <c r="M277" s="19">
        <v>25</v>
      </c>
      <c r="N277" s="19" t="s">
        <v>205</v>
      </c>
      <c r="R277" s="19">
        <v>37</v>
      </c>
      <c r="S277" s="9" t="s">
        <v>184</v>
      </c>
      <c r="T277" s="19">
        <v>5</v>
      </c>
      <c r="U277" s="19" t="s">
        <v>189</v>
      </c>
    </row>
    <row r="278" spans="1:21" ht="15" customHeight="1">
      <c r="A278" s="19">
        <v>28</v>
      </c>
      <c r="B278" s="19">
        <v>5</v>
      </c>
      <c r="E278" s="19" t="s">
        <v>192</v>
      </c>
      <c r="F278" s="19" t="s">
        <v>264</v>
      </c>
      <c r="G278" s="19" t="s">
        <v>178</v>
      </c>
      <c r="H278" s="19" t="s">
        <v>203</v>
      </c>
      <c r="I278" s="19">
        <v>10000</v>
      </c>
      <c r="J278" s="19" t="s">
        <v>180</v>
      </c>
      <c r="K278" s="27" t="s">
        <v>265</v>
      </c>
      <c r="L278" s="19" t="s">
        <v>265</v>
      </c>
      <c r="M278" s="19">
        <v>50</v>
      </c>
      <c r="N278" s="19" t="s">
        <v>205</v>
      </c>
      <c r="R278" s="19">
        <v>37</v>
      </c>
      <c r="S278" s="9" t="s">
        <v>184</v>
      </c>
      <c r="T278" s="19">
        <v>5</v>
      </c>
      <c r="U278" s="19" t="s">
        <v>189</v>
      </c>
    </row>
    <row r="279" spans="1:21" ht="15" customHeight="1">
      <c r="A279" s="19">
        <v>28</v>
      </c>
      <c r="B279" s="19">
        <v>6</v>
      </c>
      <c r="E279" s="19" t="s">
        <v>192</v>
      </c>
      <c r="F279" s="19" t="s">
        <v>264</v>
      </c>
      <c r="G279" s="19" t="s">
        <v>178</v>
      </c>
      <c r="H279" s="19" t="s">
        <v>203</v>
      </c>
      <c r="I279" s="19">
        <v>10000</v>
      </c>
      <c r="J279" s="19" t="s">
        <v>180</v>
      </c>
      <c r="K279" s="27" t="s">
        <v>265</v>
      </c>
      <c r="L279" s="19" t="s">
        <v>265</v>
      </c>
      <c r="M279" s="19">
        <v>100</v>
      </c>
      <c r="N279" s="19" t="s">
        <v>205</v>
      </c>
      <c r="R279" s="19">
        <v>37</v>
      </c>
      <c r="S279" s="9" t="s">
        <v>184</v>
      </c>
      <c r="T279" s="19">
        <v>5</v>
      </c>
      <c r="U279" s="19" t="s">
        <v>189</v>
      </c>
    </row>
    <row r="280" spans="1:21" ht="15" customHeight="1">
      <c r="A280" s="27">
        <v>28</v>
      </c>
      <c r="B280" s="27">
        <v>7</v>
      </c>
      <c r="E280" s="19" t="s">
        <v>192</v>
      </c>
      <c r="F280" s="19" t="s">
        <v>264</v>
      </c>
      <c r="G280" s="19" t="s">
        <v>178</v>
      </c>
      <c r="H280" s="19" t="s">
        <v>203</v>
      </c>
      <c r="I280" s="19">
        <v>10000</v>
      </c>
      <c r="J280" s="19" t="s">
        <v>180</v>
      </c>
      <c r="K280" s="27" t="s">
        <v>265</v>
      </c>
      <c r="L280" s="19" t="s">
        <v>265</v>
      </c>
      <c r="M280" s="19">
        <v>3.125</v>
      </c>
      <c r="N280" s="19" t="s">
        <v>205</v>
      </c>
      <c r="R280" s="19">
        <v>37</v>
      </c>
      <c r="S280" s="9" t="s">
        <v>184</v>
      </c>
      <c r="T280" s="19">
        <v>5</v>
      </c>
      <c r="U280" s="19" t="s">
        <v>189</v>
      </c>
    </row>
    <row r="281" spans="1:21" ht="15" customHeight="1">
      <c r="A281" s="27">
        <v>28</v>
      </c>
      <c r="B281" s="27">
        <v>8</v>
      </c>
      <c r="E281" s="19" t="s">
        <v>192</v>
      </c>
      <c r="F281" s="19" t="s">
        <v>264</v>
      </c>
      <c r="G281" s="19" t="s">
        <v>178</v>
      </c>
      <c r="H281" s="19" t="s">
        <v>203</v>
      </c>
      <c r="I281" s="19">
        <v>10000</v>
      </c>
      <c r="J281" s="19" t="s">
        <v>180</v>
      </c>
      <c r="K281" s="27" t="s">
        <v>265</v>
      </c>
      <c r="L281" s="19" t="s">
        <v>265</v>
      </c>
      <c r="M281" s="19">
        <v>6.25</v>
      </c>
      <c r="N281" s="19" t="s">
        <v>205</v>
      </c>
      <c r="R281" s="19">
        <v>37</v>
      </c>
      <c r="S281" s="9" t="s">
        <v>184</v>
      </c>
      <c r="T281" s="19">
        <v>5</v>
      </c>
      <c r="U281" s="19" t="s">
        <v>189</v>
      </c>
    </row>
    <row r="282" spans="1:21" ht="15" customHeight="1">
      <c r="A282" s="27">
        <v>28</v>
      </c>
      <c r="B282" s="27">
        <v>9</v>
      </c>
      <c r="E282" s="19" t="s">
        <v>192</v>
      </c>
      <c r="F282" s="19" t="s">
        <v>264</v>
      </c>
      <c r="G282" s="19" t="s">
        <v>178</v>
      </c>
      <c r="H282" s="19" t="s">
        <v>203</v>
      </c>
      <c r="I282" s="19">
        <v>10000</v>
      </c>
      <c r="J282" s="19" t="s">
        <v>180</v>
      </c>
      <c r="K282" s="27" t="s">
        <v>265</v>
      </c>
      <c r="L282" s="19" t="s">
        <v>265</v>
      </c>
      <c r="M282" s="19">
        <v>12.5</v>
      </c>
      <c r="N282" s="19" t="s">
        <v>205</v>
      </c>
      <c r="R282" s="19">
        <v>37</v>
      </c>
      <c r="S282" s="9" t="s">
        <v>184</v>
      </c>
      <c r="T282" s="19">
        <v>5</v>
      </c>
      <c r="U282" s="19" t="s">
        <v>189</v>
      </c>
    </row>
    <row r="283" spans="1:21" ht="15" customHeight="1">
      <c r="A283" s="27">
        <v>28</v>
      </c>
      <c r="B283" s="27">
        <v>10</v>
      </c>
      <c r="E283" s="19" t="s">
        <v>192</v>
      </c>
      <c r="F283" s="19" t="s">
        <v>264</v>
      </c>
      <c r="G283" s="19" t="s">
        <v>178</v>
      </c>
      <c r="H283" s="19" t="s">
        <v>203</v>
      </c>
      <c r="I283" s="19">
        <v>10000</v>
      </c>
      <c r="J283" s="19" t="s">
        <v>180</v>
      </c>
      <c r="K283" s="27" t="s">
        <v>265</v>
      </c>
      <c r="L283" s="19" t="s">
        <v>265</v>
      </c>
      <c r="M283" s="19">
        <v>25</v>
      </c>
      <c r="N283" s="19" t="s">
        <v>205</v>
      </c>
      <c r="R283" s="19">
        <v>37</v>
      </c>
      <c r="S283" s="9" t="s">
        <v>184</v>
      </c>
      <c r="T283" s="19">
        <v>5</v>
      </c>
      <c r="U283" s="19" t="s">
        <v>189</v>
      </c>
    </row>
    <row r="284" spans="1:21" ht="15" customHeight="1">
      <c r="A284" s="27">
        <v>28</v>
      </c>
      <c r="B284" s="27">
        <v>11</v>
      </c>
      <c r="E284" s="19" t="s">
        <v>192</v>
      </c>
      <c r="F284" s="19" t="s">
        <v>264</v>
      </c>
      <c r="G284" s="19" t="s">
        <v>178</v>
      </c>
      <c r="H284" s="19" t="s">
        <v>203</v>
      </c>
      <c r="I284" s="19">
        <v>10000</v>
      </c>
      <c r="J284" s="19" t="s">
        <v>180</v>
      </c>
      <c r="K284" s="27" t="s">
        <v>265</v>
      </c>
      <c r="L284" s="19" t="s">
        <v>265</v>
      </c>
      <c r="M284" s="19">
        <v>50</v>
      </c>
      <c r="N284" s="19" t="s">
        <v>205</v>
      </c>
      <c r="R284" s="19">
        <v>37</v>
      </c>
      <c r="S284" s="9" t="s">
        <v>184</v>
      </c>
      <c r="T284" s="19">
        <v>5</v>
      </c>
      <c r="U284" s="19" t="s">
        <v>189</v>
      </c>
    </row>
    <row r="285" spans="1:21" ht="15" customHeight="1">
      <c r="A285" s="27">
        <v>28</v>
      </c>
      <c r="B285" s="27">
        <v>12</v>
      </c>
      <c r="E285" s="19" t="s">
        <v>192</v>
      </c>
      <c r="F285" s="19" t="s">
        <v>264</v>
      </c>
      <c r="G285" s="19" t="s">
        <v>178</v>
      </c>
      <c r="H285" s="19" t="s">
        <v>203</v>
      </c>
      <c r="I285" s="19">
        <v>10000</v>
      </c>
      <c r="J285" s="19" t="s">
        <v>180</v>
      </c>
      <c r="K285" s="27" t="s">
        <v>265</v>
      </c>
      <c r="L285" s="19" t="s">
        <v>265</v>
      </c>
      <c r="M285" s="19">
        <v>100</v>
      </c>
      <c r="N285" s="19" t="s">
        <v>205</v>
      </c>
      <c r="R285" s="19">
        <v>37</v>
      </c>
      <c r="S285" s="9" t="s">
        <v>184</v>
      </c>
      <c r="T285" s="19">
        <v>5</v>
      </c>
      <c r="U285" s="19" t="s">
        <v>189</v>
      </c>
    </row>
    <row r="286" spans="1:21" ht="15" customHeight="1">
      <c r="A286" s="27">
        <v>28</v>
      </c>
      <c r="B286" s="27">
        <v>13</v>
      </c>
      <c r="E286" s="19" t="s">
        <v>192</v>
      </c>
      <c r="F286" s="19" t="s">
        <v>264</v>
      </c>
      <c r="G286" s="19" t="s">
        <v>178</v>
      </c>
      <c r="H286" s="19" t="s">
        <v>203</v>
      </c>
      <c r="I286" s="19">
        <v>10000</v>
      </c>
      <c r="J286" s="19" t="s">
        <v>180</v>
      </c>
      <c r="K286" s="27" t="s">
        <v>265</v>
      </c>
      <c r="L286" s="19" t="s">
        <v>265</v>
      </c>
      <c r="M286" s="19">
        <v>3.125</v>
      </c>
      <c r="N286" s="19" t="s">
        <v>205</v>
      </c>
      <c r="R286" s="19">
        <v>37</v>
      </c>
      <c r="S286" s="9" t="s">
        <v>184</v>
      </c>
      <c r="T286" s="19">
        <v>5</v>
      </c>
      <c r="U286" s="19" t="s">
        <v>189</v>
      </c>
    </row>
    <row r="287" spans="1:21" ht="15" customHeight="1">
      <c r="A287" s="27">
        <v>28</v>
      </c>
      <c r="B287" s="27">
        <v>14</v>
      </c>
      <c r="E287" s="19" t="s">
        <v>192</v>
      </c>
      <c r="F287" s="19" t="s">
        <v>264</v>
      </c>
      <c r="G287" s="19" t="s">
        <v>178</v>
      </c>
      <c r="H287" s="19" t="s">
        <v>203</v>
      </c>
      <c r="I287" s="19">
        <v>10000</v>
      </c>
      <c r="J287" s="19" t="s">
        <v>180</v>
      </c>
      <c r="K287" s="27" t="s">
        <v>265</v>
      </c>
      <c r="L287" s="19" t="s">
        <v>265</v>
      </c>
      <c r="M287" s="19">
        <v>6.25</v>
      </c>
      <c r="N287" s="19" t="s">
        <v>205</v>
      </c>
      <c r="R287" s="19">
        <v>37</v>
      </c>
      <c r="S287" s="9" t="s">
        <v>184</v>
      </c>
      <c r="T287" s="19">
        <v>5</v>
      </c>
      <c r="U287" s="19" t="s">
        <v>189</v>
      </c>
    </row>
    <row r="288" spans="1:21" ht="15" customHeight="1">
      <c r="A288" s="27">
        <v>28</v>
      </c>
      <c r="B288" s="27">
        <v>15</v>
      </c>
      <c r="E288" s="19" t="s">
        <v>192</v>
      </c>
      <c r="F288" s="19" t="s">
        <v>264</v>
      </c>
      <c r="G288" s="19" t="s">
        <v>178</v>
      </c>
      <c r="H288" s="19" t="s">
        <v>203</v>
      </c>
      <c r="I288" s="19">
        <v>10000</v>
      </c>
      <c r="J288" s="19" t="s">
        <v>180</v>
      </c>
      <c r="K288" s="27" t="s">
        <v>265</v>
      </c>
      <c r="L288" s="19" t="s">
        <v>265</v>
      </c>
      <c r="M288" s="19">
        <v>12.5</v>
      </c>
      <c r="N288" s="19" t="s">
        <v>205</v>
      </c>
      <c r="R288" s="19">
        <v>37</v>
      </c>
      <c r="S288" s="9" t="s">
        <v>184</v>
      </c>
      <c r="T288" s="19">
        <v>5</v>
      </c>
      <c r="U288" s="19" t="s">
        <v>189</v>
      </c>
    </row>
    <row r="289" spans="1:21" ht="15" customHeight="1">
      <c r="A289" s="27">
        <v>28</v>
      </c>
      <c r="B289" s="27">
        <v>16</v>
      </c>
      <c r="E289" s="19" t="s">
        <v>192</v>
      </c>
      <c r="F289" s="19" t="s">
        <v>264</v>
      </c>
      <c r="G289" s="19" t="s">
        <v>178</v>
      </c>
      <c r="H289" s="19" t="s">
        <v>203</v>
      </c>
      <c r="I289" s="19">
        <v>10000</v>
      </c>
      <c r="J289" s="19" t="s">
        <v>180</v>
      </c>
      <c r="K289" s="27" t="s">
        <v>265</v>
      </c>
      <c r="L289" s="19" t="s">
        <v>265</v>
      </c>
      <c r="M289" s="19">
        <v>25</v>
      </c>
      <c r="N289" s="19" t="s">
        <v>205</v>
      </c>
      <c r="R289" s="19">
        <v>37</v>
      </c>
      <c r="S289" s="9" t="s">
        <v>184</v>
      </c>
      <c r="T289" s="19">
        <v>5</v>
      </c>
      <c r="U289" s="19" t="s">
        <v>189</v>
      </c>
    </row>
    <row r="290" spans="1:21" ht="15" customHeight="1">
      <c r="A290" s="27">
        <v>28</v>
      </c>
      <c r="B290" s="27">
        <v>17</v>
      </c>
      <c r="E290" s="19" t="s">
        <v>192</v>
      </c>
      <c r="F290" s="19" t="s">
        <v>264</v>
      </c>
      <c r="G290" s="19" t="s">
        <v>178</v>
      </c>
      <c r="H290" s="19" t="s">
        <v>203</v>
      </c>
      <c r="I290" s="19">
        <v>10000</v>
      </c>
      <c r="J290" s="19" t="s">
        <v>180</v>
      </c>
      <c r="K290" s="27" t="s">
        <v>265</v>
      </c>
      <c r="L290" s="19" t="s">
        <v>265</v>
      </c>
      <c r="M290" s="19">
        <v>50</v>
      </c>
      <c r="N290" s="19" t="s">
        <v>205</v>
      </c>
      <c r="R290" s="19">
        <v>37</v>
      </c>
      <c r="S290" s="9" t="s">
        <v>184</v>
      </c>
      <c r="T290" s="19">
        <v>5</v>
      </c>
      <c r="U290" s="19" t="s">
        <v>189</v>
      </c>
    </row>
    <row r="291" spans="1:21" ht="15" customHeight="1">
      <c r="A291" s="27">
        <v>28</v>
      </c>
      <c r="B291" s="27">
        <v>18</v>
      </c>
      <c r="E291" s="19" t="s">
        <v>192</v>
      </c>
      <c r="F291" s="19" t="s">
        <v>264</v>
      </c>
      <c r="G291" s="19" t="s">
        <v>178</v>
      </c>
      <c r="H291" s="19" t="s">
        <v>203</v>
      </c>
      <c r="I291" s="19">
        <v>10000</v>
      </c>
      <c r="J291" s="19" t="s">
        <v>180</v>
      </c>
      <c r="K291" s="27" t="s">
        <v>265</v>
      </c>
      <c r="L291" s="19" t="s">
        <v>265</v>
      </c>
      <c r="M291" s="19">
        <v>100</v>
      </c>
      <c r="N291" s="19" t="s">
        <v>205</v>
      </c>
      <c r="R291" s="19">
        <v>37</v>
      </c>
      <c r="S291" s="9" t="s">
        <v>184</v>
      </c>
      <c r="T291" s="19">
        <v>5</v>
      </c>
      <c r="U291" s="19" t="s">
        <v>189</v>
      </c>
    </row>
    <row r="292" spans="1:21" s="18" customFormat="1" ht="15" customHeight="1">
      <c r="A292" s="41">
        <v>29</v>
      </c>
      <c r="B292" s="41">
        <v>1</v>
      </c>
      <c r="E292" s="18" t="s">
        <v>186</v>
      </c>
      <c r="F292" s="18" t="s">
        <v>266</v>
      </c>
      <c r="G292" s="18" t="s">
        <v>194</v>
      </c>
      <c r="H292" s="18" t="s">
        <v>203</v>
      </c>
      <c r="I292" s="18">
        <v>10000</v>
      </c>
      <c r="J292" s="18" t="s">
        <v>180</v>
      </c>
      <c r="K292" s="41"/>
      <c r="O292" s="80"/>
      <c r="P292" s="18">
        <v>24</v>
      </c>
      <c r="Q292" s="18" t="s">
        <v>183</v>
      </c>
      <c r="R292" s="18">
        <v>37</v>
      </c>
      <c r="S292" s="13" t="s">
        <v>184</v>
      </c>
      <c r="T292" s="18">
        <v>5</v>
      </c>
      <c r="U292" s="18" t="s">
        <v>189</v>
      </c>
    </row>
    <row r="293" spans="1:21" ht="15" customHeight="1">
      <c r="A293" s="27">
        <v>29</v>
      </c>
      <c r="B293" s="27">
        <v>2</v>
      </c>
      <c r="E293" s="19" t="s">
        <v>186</v>
      </c>
      <c r="F293" s="19" t="s">
        <v>266</v>
      </c>
      <c r="G293" s="19" t="s">
        <v>194</v>
      </c>
      <c r="H293" s="19" t="s">
        <v>203</v>
      </c>
      <c r="I293" s="19">
        <v>10000</v>
      </c>
      <c r="J293" s="19" t="s">
        <v>180</v>
      </c>
      <c r="P293" s="19">
        <v>24</v>
      </c>
      <c r="Q293" s="19" t="s">
        <v>183</v>
      </c>
      <c r="R293" s="19">
        <v>37</v>
      </c>
      <c r="S293" s="9" t="s">
        <v>184</v>
      </c>
      <c r="T293" s="19">
        <v>5</v>
      </c>
      <c r="U293" s="19" t="s">
        <v>189</v>
      </c>
    </row>
    <row r="294" spans="1:21" ht="15" customHeight="1">
      <c r="A294" s="27">
        <v>29</v>
      </c>
      <c r="B294" s="27">
        <v>3</v>
      </c>
      <c r="E294" s="19" t="s">
        <v>186</v>
      </c>
      <c r="F294" s="19" t="s">
        <v>266</v>
      </c>
      <c r="G294" s="19" t="s">
        <v>194</v>
      </c>
      <c r="H294" s="19" t="s">
        <v>203</v>
      </c>
      <c r="I294" s="19">
        <v>10000</v>
      </c>
      <c r="J294" s="19" t="s">
        <v>180</v>
      </c>
      <c r="P294" s="19">
        <v>24</v>
      </c>
      <c r="Q294" s="19" t="s">
        <v>183</v>
      </c>
      <c r="R294" s="19">
        <v>37</v>
      </c>
      <c r="S294" s="9" t="s">
        <v>184</v>
      </c>
      <c r="T294" s="19">
        <v>5</v>
      </c>
      <c r="U294" s="19" t="s">
        <v>189</v>
      </c>
    </row>
    <row r="295" spans="1:21" s="18" customFormat="1" ht="15" customHeight="1">
      <c r="A295" s="41">
        <v>30</v>
      </c>
      <c r="B295" s="41">
        <v>1</v>
      </c>
      <c r="C295" s="18" t="s">
        <v>175</v>
      </c>
      <c r="F295" s="18" t="s">
        <v>267</v>
      </c>
      <c r="G295" s="18" t="s">
        <v>194</v>
      </c>
      <c r="H295" s="18" t="s">
        <v>179</v>
      </c>
      <c r="I295" s="18">
        <v>10000</v>
      </c>
      <c r="J295" s="18" t="s">
        <v>180</v>
      </c>
      <c r="K295" s="41" t="s">
        <v>268</v>
      </c>
      <c r="L295" s="18" t="s">
        <v>269</v>
      </c>
      <c r="O295" s="80">
        <v>0</v>
      </c>
      <c r="P295" s="18">
        <v>24</v>
      </c>
      <c r="Q295" s="18" t="s">
        <v>183</v>
      </c>
      <c r="R295" s="18">
        <v>37</v>
      </c>
      <c r="S295" s="13" t="s">
        <v>184</v>
      </c>
    </row>
    <row r="296" spans="1:21" ht="15" customHeight="1">
      <c r="A296" s="27">
        <v>30</v>
      </c>
      <c r="B296" s="27">
        <v>2</v>
      </c>
      <c r="C296" s="19" t="s">
        <v>175</v>
      </c>
      <c r="F296" s="19" t="s">
        <v>267</v>
      </c>
      <c r="G296" s="19" t="s">
        <v>194</v>
      </c>
      <c r="H296" s="19" t="s">
        <v>179</v>
      </c>
      <c r="I296" s="62">
        <v>10000</v>
      </c>
      <c r="J296" s="19" t="s">
        <v>180</v>
      </c>
      <c r="K296" s="27" t="s">
        <v>268</v>
      </c>
      <c r="L296" s="19" t="s">
        <v>269</v>
      </c>
      <c r="O296" s="79">
        <v>1.33</v>
      </c>
      <c r="P296" s="19">
        <v>24</v>
      </c>
      <c r="Q296" s="19" t="s">
        <v>183</v>
      </c>
      <c r="R296" s="19">
        <v>37</v>
      </c>
      <c r="S296" s="9" t="s">
        <v>184</v>
      </c>
    </row>
    <row r="297" spans="1:21" s="18" customFormat="1" ht="15" customHeight="1">
      <c r="A297" s="18">
        <v>31</v>
      </c>
      <c r="B297" s="18">
        <v>1</v>
      </c>
      <c r="E297" s="18" t="s">
        <v>256</v>
      </c>
      <c r="F297" s="18" t="s">
        <v>270</v>
      </c>
      <c r="G297" s="18" t="s">
        <v>178</v>
      </c>
      <c r="H297" s="18" t="s">
        <v>179</v>
      </c>
      <c r="I297" s="19">
        <v>75000</v>
      </c>
      <c r="J297" s="18" t="s">
        <v>180</v>
      </c>
      <c r="K297" s="85" t="s">
        <v>271</v>
      </c>
      <c r="L297" s="18" t="s">
        <v>272</v>
      </c>
      <c r="M297" s="18">
        <v>1</v>
      </c>
      <c r="N297" s="18" t="s">
        <v>205</v>
      </c>
      <c r="O297" s="80"/>
      <c r="P297" s="18">
        <v>24</v>
      </c>
      <c r="Q297" s="18" t="s">
        <v>183</v>
      </c>
      <c r="R297" s="18">
        <v>37</v>
      </c>
      <c r="S297" s="13" t="s">
        <v>184</v>
      </c>
      <c r="T297" s="18">
        <v>5</v>
      </c>
      <c r="U297" s="18" t="s">
        <v>189</v>
      </c>
    </row>
    <row r="298" spans="1:21" ht="15" customHeight="1">
      <c r="A298" s="19">
        <v>31</v>
      </c>
      <c r="B298" s="19">
        <v>2</v>
      </c>
      <c r="E298" s="19" t="s">
        <v>256</v>
      </c>
      <c r="F298" s="19" t="s">
        <v>270</v>
      </c>
      <c r="G298" s="19" t="s">
        <v>178</v>
      </c>
      <c r="H298" s="19" t="s">
        <v>179</v>
      </c>
      <c r="I298" s="19">
        <v>75000</v>
      </c>
      <c r="J298" s="19" t="s">
        <v>180</v>
      </c>
      <c r="K298" s="86" t="s">
        <v>271</v>
      </c>
      <c r="L298" s="19" t="s">
        <v>272</v>
      </c>
      <c r="M298" s="19">
        <v>10</v>
      </c>
      <c r="N298" s="19" t="s">
        <v>205</v>
      </c>
      <c r="P298" s="19">
        <v>24</v>
      </c>
      <c r="Q298" s="19" t="s">
        <v>183</v>
      </c>
      <c r="R298" s="19">
        <v>37</v>
      </c>
      <c r="S298" s="9" t="s">
        <v>184</v>
      </c>
      <c r="T298" s="19">
        <v>5</v>
      </c>
      <c r="U298" s="19" t="s">
        <v>189</v>
      </c>
    </row>
    <row r="299" spans="1:21" ht="15" customHeight="1">
      <c r="A299" s="19">
        <v>31</v>
      </c>
      <c r="B299" s="19">
        <v>3</v>
      </c>
      <c r="E299" s="19" t="s">
        <v>256</v>
      </c>
      <c r="F299" s="19" t="s">
        <v>270</v>
      </c>
      <c r="G299" s="19" t="s">
        <v>178</v>
      </c>
      <c r="H299" s="19" t="s">
        <v>179</v>
      </c>
      <c r="I299" s="19">
        <v>75000</v>
      </c>
      <c r="J299" s="19" t="s">
        <v>180</v>
      </c>
      <c r="K299" s="86" t="s">
        <v>271</v>
      </c>
      <c r="L299" s="19" t="s">
        <v>272</v>
      </c>
      <c r="M299" s="19">
        <v>100</v>
      </c>
      <c r="N299" s="19" t="s">
        <v>205</v>
      </c>
      <c r="P299" s="19">
        <v>24</v>
      </c>
      <c r="Q299" s="19" t="s">
        <v>183</v>
      </c>
      <c r="R299" s="19">
        <v>37</v>
      </c>
      <c r="S299" s="9" t="s">
        <v>184</v>
      </c>
      <c r="T299" s="19">
        <v>5</v>
      </c>
      <c r="U299" s="19" t="s">
        <v>189</v>
      </c>
    </row>
    <row r="300" spans="1:21" ht="15" customHeight="1">
      <c r="A300" s="19">
        <v>31</v>
      </c>
      <c r="B300" s="19">
        <v>4</v>
      </c>
      <c r="E300" s="19" t="s">
        <v>256</v>
      </c>
      <c r="F300" s="19" t="s">
        <v>270</v>
      </c>
      <c r="G300" s="19" t="s">
        <v>178</v>
      </c>
      <c r="H300" s="19" t="s">
        <v>179</v>
      </c>
      <c r="I300" s="19">
        <v>75000</v>
      </c>
      <c r="J300" s="19" t="s">
        <v>180</v>
      </c>
      <c r="K300" s="86" t="s">
        <v>271</v>
      </c>
      <c r="L300" s="19" t="s">
        <v>272</v>
      </c>
      <c r="M300" s="19">
        <v>1</v>
      </c>
      <c r="N300" s="19" t="s">
        <v>205</v>
      </c>
      <c r="P300" s="19">
        <v>24</v>
      </c>
      <c r="Q300" s="19" t="s">
        <v>183</v>
      </c>
      <c r="R300" s="19">
        <v>37</v>
      </c>
      <c r="S300" s="9" t="s">
        <v>184</v>
      </c>
      <c r="T300" s="19">
        <v>5</v>
      </c>
      <c r="U300" s="19" t="s">
        <v>189</v>
      </c>
    </row>
    <row r="301" spans="1:21" ht="15" customHeight="1">
      <c r="A301" s="19">
        <v>31</v>
      </c>
      <c r="B301" s="19">
        <v>5</v>
      </c>
      <c r="E301" s="19" t="s">
        <v>256</v>
      </c>
      <c r="F301" s="19" t="s">
        <v>270</v>
      </c>
      <c r="G301" s="19" t="s">
        <v>178</v>
      </c>
      <c r="H301" s="19" t="s">
        <v>179</v>
      </c>
      <c r="I301" s="19">
        <v>75000</v>
      </c>
      <c r="J301" s="19" t="s">
        <v>180</v>
      </c>
      <c r="K301" s="86" t="s">
        <v>271</v>
      </c>
      <c r="L301" s="19" t="s">
        <v>272</v>
      </c>
      <c r="M301" s="19">
        <v>10</v>
      </c>
      <c r="N301" s="19" t="s">
        <v>205</v>
      </c>
      <c r="P301" s="19">
        <v>24</v>
      </c>
      <c r="Q301" s="19" t="s">
        <v>183</v>
      </c>
      <c r="R301" s="19">
        <v>37</v>
      </c>
      <c r="S301" s="9" t="s">
        <v>184</v>
      </c>
      <c r="T301" s="19">
        <v>5</v>
      </c>
      <c r="U301" s="19" t="s">
        <v>189</v>
      </c>
    </row>
    <row r="302" spans="1:21" ht="15" customHeight="1">
      <c r="A302" s="19">
        <v>31</v>
      </c>
      <c r="B302" s="19">
        <v>6</v>
      </c>
      <c r="E302" s="62" t="s">
        <v>256</v>
      </c>
      <c r="F302" s="19" t="s">
        <v>270</v>
      </c>
      <c r="G302" s="19" t="s">
        <v>178</v>
      </c>
      <c r="H302" s="19" t="s">
        <v>179</v>
      </c>
      <c r="I302" s="19">
        <v>75000</v>
      </c>
      <c r="J302" s="19" t="s">
        <v>180</v>
      </c>
      <c r="K302" s="86" t="s">
        <v>271</v>
      </c>
      <c r="L302" s="19" t="s">
        <v>272</v>
      </c>
      <c r="M302" s="19">
        <v>100</v>
      </c>
      <c r="N302" s="19" t="s">
        <v>205</v>
      </c>
      <c r="P302" s="19">
        <v>24</v>
      </c>
      <c r="Q302" s="19" t="s">
        <v>183</v>
      </c>
      <c r="R302" s="19">
        <v>37</v>
      </c>
      <c r="S302" s="9" t="s">
        <v>184</v>
      </c>
      <c r="T302" s="19">
        <v>5</v>
      </c>
      <c r="U302" s="19" t="s">
        <v>189</v>
      </c>
    </row>
    <row r="303" spans="1:21" s="18" customFormat="1" ht="15" customHeight="1">
      <c r="A303" s="41">
        <v>32</v>
      </c>
      <c r="B303" s="41">
        <v>1</v>
      </c>
      <c r="E303" s="19" t="s">
        <v>192</v>
      </c>
      <c r="F303" s="18" t="s">
        <v>273</v>
      </c>
      <c r="G303" s="18" t="s">
        <v>178</v>
      </c>
      <c r="I303" s="18">
        <v>6000</v>
      </c>
      <c r="J303" s="18" t="s">
        <v>180</v>
      </c>
      <c r="K303" s="85" t="s">
        <v>271</v>
      </c>
      <c r="M303" s="18">
        <v>0</v>
      </c>
      <c r="N303" s="18" t="s">
        <v>205</v>
      </c>
      <c r="O303" s="80"/>
      <c r="P303" s="18">
        <v>24</v>
      </c>
      <c r="Q303" s="18" t="s">
        <v>183</v>
      </c>
    </row>
    <row r="304" spans="1:21" ht="15" customHeight="1">
      <c r="A304" s="27">
        <v>32</v>
      </c>
      <c r="B304" s="27">
        <v>2</v>
      </c>
      <c r="E304" s="19" t="s">
        <v>192</v>
      </c>
      <c r="F304" s="19" t="s">
        <v>273</v>
      </c>
      <c r="G304" s="19" t="s">
        <v>178</v>
      </c>
      <c r="I304" s="19">
        <v>6000</v>
      </c>
      <c r="J304" s="19" t="s">
        <v>180</v>
      </c>
      <c r="K304" s="86" t="s">
        <v>271</v>
      </c>
      <c r="M304" s="19">
        <v>0.2</v>
      </c>
      <c r="N304" s="19" t="s">
        <v>205</v>
      </c>
      <c r="P304" s="19">
        <v>24</v>
      </c>
      <c r="Q304" s="19" t="s">
        <v>183</v>
      </c>
    </row>
    <row r="305" spans="1:17" ht="15" customHeight="1">
      <c r="A305" s="27">
        <v>32</v>
      </c>
      <c r="B305" s="27">
        <v>3</v>
      </c>
      <c r="E305" s="19" t="s">
        <v>192</v>
      </c>
      <c r="F305" s="19" t="s">
        <v>273</v>
      </c>
      <c r="G305" s="19" t="s">
        <v>178</v>
      </c>
      <c r="I305" s="19">
        <v>6000</v>
      </c>
      <c r="J305" s="19" t="s">
        <v>180</v>
      </c>
      <c r="K305" s="86" t="s">
        <v>271</v>
      </c>
      <c r="M305" s="19">
        <v>0.6</v>
      </c>
      <c r="N305" s="19" t="s">
        <v>205</v>
      </c>
      <c r="P305" s="19">
        <v>24</v>
      </c>
      <c r="Q305" s="19" t="s">
        <v>183</v>
      </c>
    </row>
    <row r="306" spans="1:17" ht="15" customHeight="1">
      <c r="A306" s="27">
        <v>32</v>
      </c>
      <c r="B306" s="27">
        <v>4</v>
      </c>
      <c r="E306" s="19" t="s">
        <v>192</v>
      </c>
      <c r="F306" s="19" t="s">
        <v>273</v>
      </c>
      <c r="G306" s="19" t="s">
        <v>178</v>
      </c>
      <c r="I306" s="19">
        <v>6000</v>
      </c>
      <c r="J306" s="19" t="s">
        <v>180</v>
      </c>
      <c r="K306" s="86" t="s">
        <v>271</v>
      </c>
      <c r="M306" s="19">
        <v>1.3</v>
      </c>
      <c r="N306" s="19" t="s">
        <v>205</v>
      </c>
      <c r="P306" s="19">
        <v>24</v>
      </c>
      <c r="Q306" s="19" t="s">
        <v>183</v>
      </c>
    </row>
    <row r="307" spans="1:17" ht="15" customHeight="1">
      <c r="A307" s="27">
        <v>32</v>
      </c>
      <c r="B307" s="27">
        <v>5</v>
      </c>
      <c r="E307" s="19" t="s">
        <v>192</v>
      </c>
      <c r="F307" s="19" t="s">
        <v>273</v>
      </c>
      <c r="G307" s="19" t="s">
        <v>178</v>
      </c>
      <c r="I307" s="19">
        <v>6000</v>
      </c>
      <c r="J307" s="19" t="s">
        <v>180</v>
      </c>
      <c r="K307" s="86" t="s">
        <v>271</v>
      </c>
      <c r="M307" s="19">
        <v>3</v>
      </c>
      <c r="N307" s="19" t="s">
        <v>205</v>
      </c>
      <c r="P307" s="19">
        <v>24</v>
      </c>
      <c r="Q307" s="19" t="s">
        <v>183</v>
      </c>
    </row>
    <row r="308" spans="1:17" ht="15" customHeight="1">
      <c r="A308" s="27">
        <v>32</v>
      </c>
      <c r="B308" s="27">
        <v>6</v>
      </c>
      <c r="E308" s="19" t="s">
        <v>192</v>
      </c>
      <c r="F308" s="19" t="s">
        <v>273</v>
      </c>
      <c r="G308" s="19" t="s">
        <v>178</v>
      </c>
      <c r="I308" s="19">
        <v>6000</v>
      </c>
      <c r="J308" s="19" t="s">
        <v>180</v>
      </c>
      <c r="K308" s="86" t="s">
        <v>271</v>
      </c>
      <c r="M308" s="19">
        <v>6</v>
      </c>
      <c r="N308" s="19" t="s">
        <v>205</v>
      </c>
      <c r="P308" s="19">
        <v>24</v>
      </c>
      <c r="Q308" s="19" t="s">
        <v>183</v>
      </c>
    </row>
    <row r="309" spans="1:17" ht="15" customHeight="1">
      <c r="A309" s="27">
        <v>32</v>
      </c>
      <c r="B309" s="27">
        <v>7</v>
      </c>
      <c r="E309" s="19" t="s">
        <v>192</v>
      </c>
      <c r="F309" s="19" t="s">
        <v>273</v>
      </c>
      <c r="G309" s="19" t="s">
        <v>178</v>
      </c>
      <c r="I309" s="19">
        <v>6000</v>
      </c>
      <c r="J309" s="19" t="s">
        <v>180</v>
      </c>
      <c r="K309" s="86" t="s">
        <v>271</v>
      </c>
      <c r="M309" s="19">
        <v>0</v>
      </c>
      <c r="N309" s="19" t="s">
        <v>205</v>
      </c>
      <c r="P309" s="19">
        <v>48</v>
      </c>
      <c r="Q309" s="19" t="s">
        <v>183</v>
      </c>
    </row>
    <row r="310" spans="1:17" ht="15" customHeight="1">
      <c r="A310" s="27">
        <v>32</v>
      </c>
      <c r="B310" s="27">
        <v>8</v>
      </c>
      <c r="E310" s="19" t="s">
        <v>192</v>
      </c>
      <c r="F310" s="19" t="s">
        <v>273</v>
      </c>
      <c r="G310" s="19" t="s">
        <v>178</v>
      </c>
      <c r="I310" s="19">
        <v>6000</v>
      </c>
      <c r="J310" s="19" t="s">
        <v>180</v>
      </c>
      <c r="K310" s="86" t="s">
        <v>271</v>
      </c>
      <c r="M310" s="19">
        <v>0.2</v>
      </c>
      <c r="N310" s="19" t="s">
        <v>205</v>
      </c>
      <c r="P310" s="19">
        <v>48</v>
      </c>
      <c r="Q310" s="19" t="s">
        <v>183</v>
      </c>
    </row>
    <row r="311" spans="1:17" ht="15" customHeight="1">
      <c r="A311" s="27">
        <v>32</v>
      </c>
      <c r="B311" s="27">
        <v>9</v>
      </c>
      <c r="E311" s="19" t="s">
        <v>192</v>
      </c>
      <c r="F311" s="19" t="s">
        <v>273</v>
      </c>
      <c r="G311" s="19" t="s">
        <v>178</v>
      </c>
      <c r="I311" s="19">
        <v>6000</v>
      </c>
      <c r="J311" s="19" t="s">
        <v>180</v>
      </c>
      <c r="K311" s="86" t="s">
        <v>271</v>
      </c>
      <c r="M311" s="19">
        <v>0.6</v>
      </c>
      <c r="N311" s="19" t="s">
        <v>205</v>
      </c>
      <c r="P311" s="19">
        <v>48</v>
      </c>
      <c r="Q311" s="19" t="s">
        <v>183</v>
      </c>
    </row>
    <row r="312" spans="1:17" ht="15" customHeight="1">
      <c r="A312" s="27">
        <v>32</v>
      </c>
      <c r="B312" s="27">
        <v>10</v>
      </c>
      <c r="E312" s="19" t="s">
        <v>192</v>
      </c>
      <c r="F312" s="19" t="s">
        <v>273</v>
      </c>
      <c r="G312" s="19" t="s">
        <v>178</v>
      </c>
      <c r="I312" s="19">
        <v>6000</v>
      </c>
      <c r="J312" s="19" t="s">
        <v>180</v>
      </c>
      <c r="K312" s="86" t="s">
        <v>271</v>
      </c>
      <c r="M312" s="19">
        <v>1.3</v>
      </c>
      <c r="N312" s="19" t="s">
        <v>205</v>
      </c>
      <c r="P312" s="19">
        <v>48</v>
      </c>
      <c r="Q312" s="19" t="s">
        <v>183</v>
      </c>
    </row>
    <row r="313" spans="1:17" ht="15" customHeight="1">
      <c r="A313" s="27">
        <v>32</v>
      </c>
      <c r="B313" s="27">
        <v>11</v>
      </c>
      <c r="E313" s="19" t="s">
        <v>192</v>
      </c>
      <c r="F313" s="19" t="s">
        <v>273</v>
      </c>
      <c r="G313" s="19" t="s">
        <v>178</v>
      </c>
      <c r="I313" s="19">
        <v>6000</v>
      </c>
      <c r="J313" s="19" t="s">
        <v>180</v>
      </c>
      <c r="K313" s="86" t="s">
        <v>271</v>
      </c>
      <c r="M313" s="19">
        <v>3</v>
      </c>
      <c r="N313" s="19" t="s">
        <v>205</v>
      </c>
      <c r="P313" s="19">
        <v>48</v>
      </c>
      <c r="Q313" s="19" t="s">
        <v>183</v>
      </c>
    </row>
    <row r="314" spans="1:17" ht="15" customHeight="1">
      <c r="A314" s="27">
        <v>32</v>
      </c>
      <c r="B314" s="27">
        <v>12</v>
      </c>
      <c r="E314" s="19" t="s">
        <v>192</v>
      </c>
      <c r="F314" s="19" t="s">
        <v>273</v>
      </c>
      <c r="G314" s="19" t="s">
        <v>178</v>
      </c>
      <c r="I314" s="19">
        <v>6000</v>
      </c>
      <c r="J314" s="19" t="s">
        <v>180</v>
      </c>
      <c r="K314" s="86" t="s">
        <v>271</v>
      </c>
      <c r="M314" s="19">
        <v>6</v>
      </c>
      <c r="N314" s="19" t="s">
        <v>205</v>
      </c>
      <c r="P314" s="19">
        <v>48</v>
      </c>
      <c r="Q314" s="19" t="s">
        <v>183</v>
      </c>
    </row>
    <row r="315" spans="1:17" ht="15" customHeight="1">
      <c r="A315" s="27">
        <v>32</v>
      </c>
      <c r="B315" s="27">
        <v>13</v>
      </c>
      <c r="E315" s="19" t="s">
        <v>192</v>
      </c>
      <c r="F315" s="19" t="s">
        <v>273</v>
      </c>
      <c r="G315" s="19" t="s">
        <v>178</v>
      </c>
      <c r="I315" s="19">
        <v>6000</v>
      </c>
      <c r="J315" s="19" t="s">
        <v>180</v>
      </c>
      <c r="K315" s="86" t="s">
        <v>271</v>
      </c>
      <c r="M315" s="19">
        <v>0</v>
      </c>
      <c r="N315" s="19" t="s">
        <v>205</v>
      </c>
      <c r="P315" s="19">
        <v>72</v>
      </c>
      <c r="Q315" s="19" t="s">
        <v>183</v>
      </c>
    </row>
    <row r="316" spans="1:17" ht="15" customHeight="1">
      <c r="A316" s="27">
        <v>32</v>
      </c>
      <c r="B316" s="27">
        <v>14</v>
      </c>
      <c r="E316" s="19" t="s">
        <v>192</v>
      </c>
      <c r="F316" s="19" t="s">
        <v>273</v>
      </c>
      <c r="G316" s="19" t="s">
        <v>178</v>
      </c>
      <c r="I316" s="19">
        <v>6000</v>
      </c>
      <c r="J316" s="19" t="s">
        <v>180</v>
      </c>
      <c r="K316" s="86" t="s">
        <v>271</v>
      </c>
      <c r="M316" s="19">
        <v>0.2</v>
      </c>
      <c r="N316" s="19" t="s">
        <v>205</v>
      </c>
      <c r="P316" s="19">
        <v>72</v>
      </c>
      <c r="Q316" s="19" t="s">
        <v>183</v>
      </c>
    </row>
    <row r="317" spans="1:17" ht="15" customHeight="1">
      <c r="A317" s="27">
        <v>32</v>
      </c>
      <c r="B317" s="27">
        <v>15</v>
      </c>
      <c r="E317" s="19" t="s">
        <v>192</v>
      </c>
      <c r="F317" s="19" t="s">
        <v>273</v>
      </c>
      <c r="G317" s="19" t="s">
        <v>178</v>
      </c>
      <c r="I317" s="19">
        <v>6000</v>
      </c>
      <c r="J317" s="19" t="s">
        <v>180</v>
      </c>
      <c r="K317" s="86" t="s">
        <v>271</v>
      </c>
      <c r="M317" s="19">
        <v>0.6</v>
      </c>
      <c r="N317" s="19" t="s">
        <v>205</v>
      </c>
      <c r="P317" s="19">
        <v>72</v>
      </c>
      <c r="Q317" s="19" t="s">
        <v>183</v>
      </c>
    </row>
    <row r="318" spans="1:17" ht="15" customHeight="1">
      <c r="A318" s="27">
        <v>32</v>
      </c>
      <c r="B318" s="27">
        <v>16</v>
      </c>
      <c r="E318" s="19" t="s">
        <v>192</v>
      </c>
      <c r="F318" s="19" t="s">
        <v>273</v>
      </c>
      <c r="G318" s="19" t="s">
        <v>178</v>
      </c>
      <c r="I318" s="19">
        <v>6000</v>
      </c>
      <c r="J318" s="19" t="s">
        <v>180</v>
      </c>
      <c r="K318" s="86" t="s">
        <v>271</v>
      </c>
      <c r="M318" s="19">
        <v>1.3</v>
      </c>
      <c r="N318" s="19" t="s">
        <v>205</v>
      </c>
      <c r="P318" s="19">
        <v>72</v>
      </c>
      <c r="Q318" s="19" t="s">
        <v>183</v>
      </c>
    </row>
    <row r="319" spans="1:17" ht="15" customHeight="1">
      <c r="A319" s="27">
        <v>32</v>
      </c>
      <c r="B319" s="27">
        <v>17</v>
      </c>
      <c r="E319" s="19" t="s">
        <v>192</v>
      </c>
      <c r="F319" s="19" t="s">
        <v>273</v>
      </c>
      <c r="G319" s="19" t="s">
        <v>178</v>
      </c>
      <c r="I319" s="19">
        <v>6000</v>
      </c>
      <c r="J319" s="19" t="s">
        <v>180</v>
      </c>
      <c r="K319" s="86" t="s">
        <v>271</v>
      </c>
      <c r="M319" s="19">
        <v>3</v>
      </c>
      <c r="N319" s="19" t="s">
        <v>205</v>
      </c>
      <c r="P319" s="19">
        <v>72</v>
      </c>
      <c r="Q319" s="19" t="s">
        <v>183</v>
      </c>
    </row>
    <row r="320" spans="1:17" ht="15" customHeight="1">
      <c r="A320" s="27">
        <v>32</v>
      </c>
      <c r="B320" s="27">
        <v>18</v>
      </c>
      <c r="E320" s="19" t="s">
        <v>192</v>
      </c>
      <c r="F320" s="19" t="s">
        <v>273</v>
      </c>
      <c r="G320" s="19" t="s">
        <v>178</v>
      </c>
      <c r="I320" s="19">
        <v>6000</v>
      </c>
      <c r="J320" s="19" t="s">
        <v>180</v>
      </c>
      <c r="K320" s="86" t="s">
        <v>271</v>
      </c>
      <c r="M320" s="19">
        <v>6</v>
      </c>
      <c r="N320" s="19" t="s">
        <v>205</v>
      </c>
      <c r="P320" s="19">
        <v>72</v>
      </c>
      <c r="Q320" s="19" t="s">
        <v>183</v>
      </c>
    </row>
    <row r="321" spans="1:17" ht="15" customHeight="1">
      <c r="A321" s="27">
        <v>32</v>
      </c>
      <c r="B321" s="27">
        <v>19</v>
      </c>
      <c r="E321" s="19" t="s">
        <v>192</v>
      </c>
      <c r="F321" s="19" t="s">
        <v>273</v>
      </c>
      <c r="G321" s="19" t="s">
        <v>178</v>
      </c>
      <c r="I321" s="19">
        <v>6000</v>
      </c>
      <c r="J321" s="19" t="s">
        <v>180</v>
      </c>
      <c r="K321" s="86" t="s">
        <v>271</v>
      </c>
      <c r="M321" s="19">
        <v>0</v>
      </c>
      <c r="N321" s="19" t="s">
        <v>205</v>
      </c>
      <c r="P321" s="19">
        <v>24</v>
      </c>
      <c r="Q321" s="19" t="s">
        <v>183</v>
      </c>
    </row>
    <row r="322" spans="1:17" ht="15" customHeight="1">
      <c r="A322" s="27">
        <v>32</v>
      </c>
      <c r="B322" s="27">
        <v>20</v>
      </c>
      <c r="E322" s="19" t="s">
        <v>192</v>
      </c>
      <c r="F322" s="19" t="s">
        <v>273</v>
      </c>
      <c r="G322" s="19" t="s">
        <v>178</v>
      </c>
      <c r="I322" s="19">
        <v>6000</v>
      </c>
      <c r="J322" s="19" t="s">
        <v>180</v>
      </c>
      <c r="K322" s="86" t="s">
        <v>271</v>
      </c>
      <c r="M322" s="19">
        <v>0.2</v>
      </c>
      <c r="N322" s="19" t="s">
        <v>205</v>
      </c>
      <c r="P322" s="19">
        <v>24</v>
      </c>
      <c r="Q322" s="19" t="s">
        <v>183</v>
      </c>
    </row>
    <row r="323" spans="1:17" ht="15" customHeight="1">
      <c r="A323" s="27">
        <v>32</v>
      </c>
      <c r="B323" s="27">
        <v>21</v>
      </c>
      <c r="E323" s="19" t="s">
        <v>192</v>
      </c>
      <c r="F323" s="19" t="s">
        <v>273</v>
      </c>
      <c r="G323" s="19" t="s">
        <v>178</v>
      </c>
      <c r="I323" s="19">
        <v>6000</v>
      </c>
      <c r="J323" s="19" t="s">
        <v>180</v>
      </c>
      <c r="K323" s="86" t="s">
        <v>271</v>
      </c>
      <c r="M323" s="19">
        <v>0.6</v>
      </c>
      <c r="N323" s="19" t="s">
        <v>205</v>
      </c>
      <c r="P323" s="19">
        <v>24</v>
      </c>
      <c r="Q323" s="19" t="s">
        <v>183</v>
      </c>
    </row>
    <row r="324" spans="1:17" ht="15" customHeight="1">
      <c r="A324" s="27">
        <v>32</v>
      </c>
      <c r="B324" s="27">
        <v>22</v>
      </c>
      <c r="E324" s="19" t="s">
        <v>192</v>
      </c>
      <c r="F324" s="19" t="s">
        <v>273</v>
      </c>
      <c r="G324" s="19" t="s">
        <v>178</v>
      </c>
      <c r="I324" s="19">
        <v>6000</v>
      </c>
      <c r="J324" s="19" t="s">
        <v>180</v>
      </c>
      <c r="K324" s="86" t="s">
        <v>271</v>
      </c>
      <c r="M324" s="19">
        <v>1.3</v>
      </c>
      <c r="N324" s="19" t="s">
        <v>205</v>
      </c>
      <c r="P324" s="19">
        <v>24</v>
      </c>
      <c r="Q324" s="19" t="s">
        <v>183</v>
      </c>
    </row>
    <row r="325" spans="1:17" ht="15" customHeight="1">
      <c r="A325" s="27">
        <v>32</v>
      </c>
      <c r="B325" s="27">
        <v>23</v>
      </c>
      <c r="E325" s="19" t="s">
        <v>192</v>
      </c>
      <c r="F325" s="19" t="s">
        <v>273</v>
      </c>
      <c r="G325" s="19" t="s">
        <v>178</v>
      </c>
      <c r="I325" s="19">
        <v>6000</v>
      </c>
      <c r="J325" s="19" t="s">
        <v>180</v>
      </c>
      <c r="K325" s="86" t="s">
        <v>271</v>
      </c>
      <c r="M325" s="19">
        <v>3</v>
      </c>
      <c r="N325" s="19" t="s">
        <v>205</v>
      </c>
      <c r="P325" s="19">
        <v>24</v>
      </c>
      <c r="Q325" s="19" t="s">
        <v>183</v>
      </c>
    </row>
    <row r="326" spans="1:17" ht="15" customHeight="1">
      <c r="A326" s="27">
        <v>32</v>
      </c>
      <c r="B326" s="27">
        <v>24</v>
      </c>
      <c r="E326" s="19" t="s">
        <v>192</v>
      </c>
      <c r="F326" s="19" t="s">
        <v>273</v>
      </c>
      <c r="G326" s="19" t="s">
        <v>178</v>
      </c>
      <c r="I326" s="19">
        <v>6000</v>
      </c>
      <c r="J326" s="19" t="s">
        <v>180</v>
      </c>
      <c r="K326" s="86" t="s">
        <v>271</v>
      </c>
      <c r="M326" s="19">
        <v>6</v>
      </c>
      <c r="N326" s="19" t="s">
        <v>205</v>
      </c>
      <c r="P326" s="19">
        <v>24</v>
      </c>
      <c r="Q326" s="19" t="s">
        <v>183</v>
      </c>
    </row>
    <row r="327" spans="1:17" ht="15" customHeight="1">
      <c r="A327" s="27">
        <v>32</v>
      </c>
      <c r="B327" s="27">
        <v>25</v>
      </c>
      <c r="E327" s="19" t="s">
        <v>192</v>
      </c>
      <c r="F327" s="19" t="s">
        <v>273</v>
      </c>
      <c r="G327" s="19" t="s">
        <v>178</v>
      </c>
      <c r="I327" s="19">
        <v>6000</v>
      </c>
      <c r="J327" s="19" t="s">
        <v>180</v>
      </c>
      <c r="K327" s="86" t="s">
        <v>271</v>
      </c>
      <c r="M327" s="19">
        <v>0</v>
      </c>
      <c r="N327" s="19" t="s">
        <v>205</v>
      </c>
      <c r="P327" s="19">
        <v>48</v>
      </c>
      <c r="Q327" s="19" t="s">
        <v>183</v>
      </c>
    </row>
    <row r="328" spans="1:17" ht="15" customHeight="1">
      <c r="A328" s="27">
        <v>32</v>
      </c>
      <c r="B328" s="27">
        <v>26</v>
      </c>
      <c r="E328" s="19" t="s">
        <v>192</v>
      </c>
      <c r="F328" s="19" t="s">
        <v>273</v>
      </c>
      <c r="G328" s="19" t="s">
        <v>178</v>
      </c>
      <c r="I328" s="19">
        <v>6000</v>
      </c>
      <c r="J328" s="19" t="s">
        <v>180</v>
      </c>
      <c r="K328" s="86" t="s">
        <v>271</v>
      </c>
      <c r="M328" s="19">
        <v>0.2</v>
      </c>
      <c r="N328" s="19" t="s">
        <v>205</v>
      </c>
      <c r="P328" s="19">
        <v>48</v>
      </c>
      <c r="Q328" s="19" t="s">
        <v>183</v>
      </c>
    </row>
    <row r="329" spans="1:17" ht="15" customHeight="1">
      <c r="A329" s="27">
        <v>32</v>
      </c>
      <c r="B329" s="27">
        <v>27</v>
      </c>
      <c r="E329" s="19" t="s">
        <v>192</v>
      </c>
      <c r="F329" s="19" t="s">
        <v>273</v>
      </c>
      <c r="G329" s="19" t="s">
        <v>178</v>
      </c>
      <c r="I329" s="19">
        <v>6000</v>
      </c>
      <c r="J329" s="19" t="s">
        <v>180</v>
      </c>
      <c r="K329" s="86" t="s">
        <v>271</v>
      </c>
      <c r="M329" s="19">
        <v>0.6</v>
      </c>
      <c r="N329" s="19" t="s">
        <v>205</v>
      </c>
      <c r="P329" s="19">
        <v>48</v>
      </c>
      <c r="Q329" s="19" t="s">
        <v>183</v>
      </c>
    </row>
    <row r="330" spans="1:17" ht="15" customHeight="1">
      <c r="A330" s="27">
        <v>32</v>
      </c>
      <c r="B330" s="27">
        <v>28</v>
      </c>
      <c r="E330" s="19" t="s">
        <v>192</v>
      </c>
      <c r="F330" s="19" t="s">
        <v>273</v>
      </c>
      <c r="G330" s="19" t="s">
        <v>178</v>
      </c>
      <c r="I330" s="19">
        <v>6000</v>
      </c>
      <c r="J330" s="19" t="s">
        <v>180</v>
      </c>
      <c r="K330" s="86" t="s">
        <v>271</v>
      </c>
      <c r="M330" s="19">
        <v>1.3</v>
      </c>
      <c r="N330" s="19" t="s">
        <v>205</v>
      </c>
      <c r="P330" s="19">
        <v>48</v>
      </c>
      <c r="Q330" s="19" t="s">
        <v>183</v>
      </c>
    </row>
    <row r="331" spans="1:17" ht="15" customHeight="1">
      <c r="A331" s="27">
        <v>32</v>
      </c>
      <c r="B331" s="27">
        <v>29</v>
      </c>
      <c r="E331" s="19" t="s">
        <v>192</v>
      </c>
      <c r="F331" s="19" t="s">
        <v>273</v>
      </c>
      <c r="G331" s="19" t="s">
        <v>178</v>
      </c>
      <c r="I331" s="19">
        <v>6000</v>
      </c>
      <c r="J331" s="19" t="s">
        <v>180</v>
      </c>
      <c r="K331" s="86" t="s">
        <v>271</v>
      </c>
      <c r="M331" s="19">
        <v>3</v>
      </c>
      <c r="N331" s="19" t="s">
        <v>205</v>
      </c>
      <c r="P331" s="19">
        <v>48</v>
      </c>
      <c r="Q331" s="19" t="s">
        <v>183</v>
      </c>
    </row>
    <row r="332" spans="1:17" ht="15" customHeight="1">
      <c r="A332" s="27">
        <v>32</v>
      </c>
      <c r="B332" s="27">
        <v>30</v>
      </c>
      <c r="E332" s="19" t="s">
        <v>192</v>
      </c>
      <c r="F332" s="19" t="s">
        <v>273</v>
      </c>
      <c r="G332" s="19" t="s">
        <v>178</v>
      </c>
      <c r="I332" s="19">
        <v>6000</v>
      </c>
      <c r="J332" s="19" t="s">
        <v>180</v>
      </c>
      <c r="K332" s="86" t="s">
        <v>271</v>
      </c>
      <c r="M332" s="19">
        <v>6</v>
      </c>
      <c r="N332" s="19" t="s">
        <v>205</v>
      </c>
      <c r="P332" s="19">
        <v>48</v>
      </c>
      <c r="Q332" s="19" t="s">
        <v>183</v>
      </c>
    </row>
    <row r="333" spans="1:17" ht="15" customHeight="1">
      <c r="A333" s="27">
        <v>32</v>
      </c>
      <c r="B333" s="27">
        <v>31</v>
      </c>
      <c r="E333" s="19" t="s">
        <v>192</v>
      </c>
      <c r="F333" s="19" t="s">
        <v>273</v>
      </c>
      <c r="G333" s="19" t="s">
        <v>178</v>
      </c>
      <c r="I333" s="19">
        <v>6000</v>
      </c>
      <c r="J333" s="19" t="s">
        <v>180</v>
      </c>
      <c r="K333" s="86" t="s">
        <v>271</v>
      </c>
      <c r="M333" s="19">
        <v>0</v>
      </c>
      <c r="N333" s="19" t="s">
        <v>205</v>
      </c>
      <c r="P333" s="19">
        <v>72</v>
      </c>
      <c r="Q333" s="19" t="s">
        <v>183</v>
      </c>
    </row>
    <row r="334" spans="1:17" ht="15" customHeight="1">
      <c r="A334" s="27">
        <v>32</v>
      </c>
      <c r="B334" s="27">
        <v>32</v>
      </c>
      <c r="E334" s="19" t="s">
        <v>192</v>
      </c>
      <c r="F334" s="19" t="s">
        <v>273</v>
      </c>
      <c r="G334" s="19" t="s">
        <v>178</v>
      </c>
      <c r="I334" s="19">
        <v>6000</v>
      </c>
      <c r="J334" s="19" t="s">
        <v>180</v>
      </c>
      <c r="K334" s="86" t="s">
        <v>271</v>
      </c>
      <c r="M334" s="19">
        <v>0.2</v>
      </c>
      <c r="N334" s="19" t="s">
        <v>205</v>
      </c>
      <c r="P334" s="19">
        <v>72</v>
      </c>
      <c r="Q334" s="19" t="s">
        <v>183</v>
      </c>
    </row>
    <row r="335" spans="1:17" ht="15" customHeight="1">
      <c r="A335" s="27">
        <v>32</v>
      </c>
      <c r="B335" s="27">
        <v>33</v>
      </c>
      <c r="E335" s="19" t="s">
        <v>192</v>
      </c>
      <c r="F335" s="19" t="s">
        <v>273</v>
      </c>
      <c r="G335" s="19" t="s">
        <v>178</v>
      </c>
      <c r="I335" s="19">
        <v>6000</v>
      </c>
      <c r="J335" s="19" t="s">
        <v>180</v>
      </c>
      <c r="K335" s="86" t="s">
        <v>271</v>
      </c>
      <c r="M335" s="19">
        <v>0.6</v>
      </c>
      <c r="N335" s="19" t="s">
        <v>205</v>
      </c>
      <c r="P335" s="19">
        <v>72</v>
      </c>
      <c r="Q335" s="19" t="s">
        <v>183</v>
      </c>
    </row>
    <row r="336" spans="1:17" ht="15" customHeight="1">
      <c r="A336" s="27">
        <v>32</v>
      </c>
      <c r="B336" s="27">
        <v>34</v>
      </c>
      <c r="E336" s="19" t="s">
        <v>192</v>
      </c>
      <c r="F336" s="19" t="s">
        <v>273</v>
      </c>
      <c r="G336" s="19" t="s">
        <v>178</v>
      </c>
      <c r="I336" s="19">
        <v>6000</v>
      </c>
      <c r="J336" s="19" t="s">
        <v>180</v>
      </c>
      <c r="K336" s="86" t="s">
        <v>271</v>
      </c>
      <c r="M336" s="19">
        <v>1.3</v>
      </c>
      <c r="N336" s="19" t="s">
        <v>205</v>
      </c>
      <c r="P336" s="19">
        <v>72</v>
      </c>
      <c r="Q336" s="19" t="s">
        <v>183</v>
      </c>
    </row>
    <row r="337" spans="1:17" ht="15" customHeight="1">
      <c r="A337" s="27">
        <v>32</v>
      </c>
      <c r="B337" s="27">
        <v>35</v>
      </c>
      <c r="E337" s="19" t="s">
        <v>192</v>
      </c>
      <c r="F337" s="19" t="s">
        <v>273</v>
      </c>
      <c r="G337" s="19" t="s">
        <v>178</v>
      </c>
      <c r="I337" s="19">
        <v>6000</v>
      </c>
      <c r="J337" s="19" t="s">
        <v>180</v>
      </c>
      <c r="K337" s="86" t="s">
        <v>271</v>
      </c>
      <c r="M337" s="19">
        <v>3</v>
      </c>
      <c r="N337" s="19" t="s">
        <v>205</v>
      </c>
      <c r="P337" s="19">
        <v>72</v>
      </c>
      <c r="Q337" s="19" t="s">
        <v>183</v>
      </c>
    </row>
    <row r="338" spans="1:17" ht="15" customHeight="1">
      <c r="A338" s="27">
        <v>32</v>
      </c>
      <c r="B338" s="27">
        <v>36</v>
      </c>
      <c r="E338" s="19" t="s">
        <v>192</v>
      </c>
      <c r="F338" s="19" t="s">
        <v>273</v>
      </c>
      <c r="G338" s="19" t="s">
        <v>178</v>
      </c>
      <c r="I338" s="19">
        <v>6000</v>
      </c>
      <c r="J338" s="19" t="s">
        <v>180</v>
      </c>
      <c r="K338" s="86" t="s">
        <v>271</v>
      </c>
      <c r="M338" s="19">
        <v>6</v>
      </c>
      <c r="N338" s="19" t="s">
        <v>205</v>
      </c>
      <c r="P338" s="19">
        <v>72</v>
      </c>
      <c r="Q338" s="19" t="s">
        <v>183</v>
      </c>
    </row>
    <row r="339" spans="1:17" ht="15" customHeight="1">
      <c r="A339" s="27">
        <v>32</v>
      </c>
      <c r="B339" s="27">
        <v>37</v>
      </c>
      <c r="E339" s="19" t="s">
        <v>192</v>
      </c>
      <c r="F339" s="19" t="s">
        <v>273</v>
      </c>
      <c r="G339" s="19" t="s">
        <v>178</v>
      </c>
      <c r="I339" s="19">
        <v>6000</v>
      </c>
      <c r="J339" s="19" t="s">
        <v>180</v>
      </c>
      <c r="K339" s="86" t="s">
        <v>271</v>
      </c>
      <c r="M339" s="19">
        <v>0</v>
      </c>
      <c r="N339" s="19" t="s">
        <v>205</v>
      </c>
      <c r="P339" s="19">
        <v>24</v>
      </c>
      <c r="Q339" s="19" t="s">
        <v>183</v>
      </c>
    </row>
    <row r="340" spans="1:17" ht="15" customHeight="1">
      <c r="A340" s="27">
        <v>32</v>
      </c>
      <c r="B340" s="27">
        <v>38</v>
      </c>
      <c r="E340" s="19" t="s">
        <v>192</v>
      </c>
      <c r="F340" s="19" t="s">
        <v>273</v>
      </c>
      <c r="G340" s="19" t="s">
        <v>178</v>
      </c>
      <c r="I340" s="19">
        <v>6000</v>
      </c>
      <c r="J340" s="19" t="s">
        <v>180</v>
      </c>
      <c r="K340" s="86" t="s">
        <v>271</v>
      </c>
      <c r="M340" s="19">
        <v>0.2</v>
      </c>
      <c r="N340" s="19" t="s">
        <v>205</v>
      </c>
      <c r="P340" s="19">
        <v>24</v>
      </c>
      <c r="Q340" s="19" t="s">
        <v>183</v>
      </c>
    </row>
    <row r="341" spans="1:17" ht="15" customHeight="1">
      <c r="A341" s="27">
        <v>32</v>
      </c>
      <c r="B341" s="27">
        <v>39</v>
      </c>
      <c r="E341" s="19" t="s">
        <v>192</v>
      </c>
      <c r="F341" s="19" t="s">
        <v>273</v>
      </c>
      <c r="G341" s="19" t="s">
        <v>178</v>
      </c>
      <c r="I341" s="19">
        <v>6000</v>
      </c>
      <c r="J341" s="19" t="s">
        <v>180</v>
      </c>
      <c r="K341" s="86" t="s">
        <v>271</v>
      </c>
      <c r="M341" s="19">
        <v>0.6</v>
      </c>
      <c r="N341" s="19" t="s">
        <v>205</v>
      </c>
      <c r="P341" s="19">
        <v>24</v>
      </c>
      <c r="Q341" s="19" t="s">
        <v>183</v>
      </c>
    </row>
    <row r="342" spans="1:17" ht="15" customHeight="1">
      <c r="A342" s="27">
        <v>32</v>
      </c>
      <c r="B342" s="27">
        <v>40</v>
      </c>
      <c r="E342" s="19" t="s">
        <v>192</v>
      </c>
      <c r="F342" s="19" t="s">
        <v>273</v>
      </c>
      <c r="G342" s="19" t="s">
        <v>178</v>
      </c>
      <c r="I342" s="19">
        <v>6000</v>
      </c>
      <c r="J342" s="19" t="s">
        <v>180</v>
      </c>
      <c r="K342" s="86" t="s">
        <v>271</v>
      </c>
      <c r="M342" s="19">
        <v>1.3</v>
      </c>
      <c r="N342" s="19" t="s">
        <v>205</v>
      </c>
      <c r="P342" s="19">
        <v>24</v>
      </c>
      <c r="Q342" s="19" t="s">
        <v>183</v>
      </c>
    </row>
    <row r="343" spans="1:17" ht="15" customHeight="1">
      <c r="A343" s="27">
        <v>32</v>
      </c>
      <c r="B343" s="27">
        <v>41</v>
      </c>
      <c r="E343" s="19" t="s">
        <v>192</v>
      </c>
      <c r="F343" s="19" t="s">
        <v>273</v>
      </c>
      <c r="G343" s="19" t="s">
        <v>178</v>
      </c>
      <c r="I343" s="19">
        <v>6000</v>
      </c>
      <c r="J343" s="19" t="s">
        <v>180</v>
      </c>
      <c r="K343" s="86" t="s">
        <v>271</v>
      </c>
      <c r="M343" s="19">
        <v>3</v>
      </c>
      <c r="N343" s="19" t="s">
        <v>205</v>
      </c>
      <c r="P343" s="19">
        <v>24</v>
      </c>
      <c r="Q343" s="19" t="s">
        <v>183</v>
      </c>
    </row>
    <row r="344" spans="1:17" ht="15" customHeight="1">
      <c r="A344" s="27">
        <v>32</v>
      </c>
      <c r="B344" s="27">
        <v>42</v>
      </c>
      <c r="E344" s="19" t="s">
        <v>192</v>
      </c>
      <c r="F344" s="19" t="s">
        <v>273</v>
      </c>
      <c r="G344" s="19" t="s">
        <v>178</v>
      </c>
      <c r="I344" s="19">
        <v>6000</v>
      </c>
      <c r="J344" s="19" t="s">
        <v>180</v>
      </c>
      <c r="K344" s="86" t="s">
        <v>271</v>
      </c>
      <c r="M344" s="19">
        <v>6</v>
      </c>
      <c r="N344" s="19" t="s">
        <v>205</v>
      </c>
      <c r="P344" s="19">
        <v>24</v>
      </c>
      <c r="Q344" s="19" t="s">
        <v>183</v>
      </c>
    </row>
    <row r="345" spans="1:17" ht="15" customHeight="1">
      <c r="A345" s="27">
        <v>32</v>
      </c>
      <c r="B345" s="27">
        <v>43</v>
      </c>
      <c r="E345" s="19" t="s">
        <v>192</v>
      </c>
      <c r="F345" s="19" t="s">
        <v>273</v>
      </c>
      <c r="G345" s="19" t="s">
        <v>178</v>
      </c>
      <c r="I345" s="19">
        <v>6000</v>
      </c>
      <c r="J345" s="19" t="s">
        <v>180</v>
      </c>
      <c r="K345" s="86" t="s">
        <v>271</v>
      </c>
      <c r="M345" s="19">
        <v>0</v>
      </c>
      <c r="N345" s="19" t="s">
        <v>205</v>
      </c>
      <c r="P345" s="19">
        <v>48</v>
      </c>
      <c r="Q345" s="19" t="s">
        <v>183</v>
      </c>
    </row>
    <row r="346" spans="1:17" ht="15" customHeight="1">
      <c r="A346" s="27">
        <v>32</v>
      </c>
      <c r="B346" s="27">
        <v>44</v>
      </c>
      <c r="E346" s="19" t="s">
        <v>192</v>
      </c>
      <c r="F346" s="19" t="s">
        <v>273</v>
      </c>
      <c r="G346" s="19" t="s">
        <v>178</v>
      </c>
      <c r="I346" s="19">
        <v>6000</v>
      </c>
      <c r="J346" s="19" t="s">
        <v>180</v>
      </c>
      <c r="K346" s="86" t="s">
        <v>271</v>
      </c>
      <c r="M346" s="19">
        <v>0.2</v>
      </c>
      <c r="N346" s="19" t="s">
        <v>205</v>
      </c>
      <c r="P346" s="19">
        <v>48</v>
      </c>
      <c r="Q346" s="19" t="s">
        <v>183</v>
      </c>
    </row>
    <row r="347" spans="1:17" ht="15" customHeight="1">
      <c r="A347" s="27">
        <v>32</v>
      </c>
      <c r="B347" s="27">
        <v>45</v>
      </c>
      <c r="E347" s="19" t="s">
        <v>192</v>
      </c>
      <c r="F347" s="19" t="s">
        <v>273</v>
      </c>
      <c r="G347" s="19" t="s">
        <v>178</v>
      </c>
      <c r="I347" s="19">
        <v>6000</v>
      </c>
      <c r="J347" s="19" t="s">
        <v>180</v>
      </c>
      <c r="K347" s="86" t="s">
        <v>271</v>
      </c>
      <c r="M347" s="19">
        <v>0.6</v>
      </c>
      <c r="N347" s="19" t="s">
        <v>205</v>
      </c>
      <c r="P347" s="19">
        <v>48</v>
      </c>
      <c r="Q347" s="19" t="s">
        <v>183</v>
      </c>
    </row>
    <row r="348" spans="1:17" ht="15" customHeight="1">
      <c r="A348" s="27">
        <v>32</v>
      </c>
      <c r="B348" s="27">
        <v>46</v>
      </c>
      <c r="E348" s="19" t="s">
        <v>192</v>
      </c>
      <c r="F348" s="19" t="s">
        <v>273</v>
      </c>
      <c r="G348" s="19" t="s">
        <v>178</v>
      </c>
      <c r="I348" s="19">
        <v>6000</v>
      </c>
      <c r="J348" s="19" t="s">
        <v>180</v>
      </c>
      <c r="K348" s="86" t="s">
        <v>271</v>
      </c>
      <c r="M348" s="19">
        <v>1.3</v>
      </c>
      <c r="N348" s="19" t="s">
        <v>205</v>
      </c>
      <c r="P348" s="19">
        <v>48</v>
      </c>
      <c r="Q348" s="19" t="s">
        <v>183</v>
      </c>
    </row>
    <row r="349" spans="1:17" ht="15" customHeight="1">
      <c r="A349" s="27">
        <v>32</v>
      </c>
      <c r="B349" s="27">
        <v>47</v>
      </c>
      <c r="E349" s="19" t="s">
        <v>192</v>
      </c>
      <c r="F349" s="19" t="s">
        <v>273</v>
      </c>
      <c r="G349" s="19" t="s">
        <v>178</v>
      </c>
      <c r="I349" s="19">
        <v>6000</v>
      </c>
      <c r="J349" s="19" t="s">
        <v>180</v>
      </c>
      <c r="K349" s="86" t="s">
        <v>271</v>
      </c>
      <c r="M349" s="19">
        <v>3</v>
      </c>
      <c r="N349" s="19" t="s">
        <v>205</v>
      </c>
      <c r="P349" s="19">
        <v>48</v>
      </c>
      <c r="Q349" s="19" t="s">
        <v>183</v>
      </c>
    </row>
    <row r="350" spans="1:17" ht="15" customHeight="1">
      <c r="A350" s="27">
        <v>32</v>
      </c>
      <c r="B350" s="27">
        <v>48</v>
      </c>
      <c r="E350" s="19" t="s">
        <v>192</v>
      </c>
      <c r="F350" s="19" t="s">
        <v>273</v>
      </c>
      <c r="G350" s="19" t="s">
        <v>178</v>
      </c>
      <c r="I350" s="19">
        <v>6000</v>
      </c>
      <c r="J350" s="19" t="s">
        <v>180</v>
      </c>
      <c r="K350" s="86" t="s">
        <v>271</v>
      </c>
      <c r="M350" s="19">
        <v>6</v>
      </c>
      <c r="N350" s="19" t="s">
        <v>205</v>
      </c>
      <c r="P350" s="19">
        <v>48</v>
      </c>
      <c r="Q350" s="19" t="s">
        <v>183</v>
      </c>
    </row>
    <row r="351" spans="1:17" ht="15" customHeight="1">
      <c r="A351" s="27">
        <v>32</v>
      </c>
      <c r="B351" s="27">
        <v>49</v>
      </c>
      <c r="E351" s="19" t="s">
        <v>192</v>
      </c>
      <c r="F351" s="19" t="s">
        <v>273</v>
      </c>
      <c r="G351" s="19" t="s">
        <v>178</v>
      </c>
      <c r="I351" s="19">
        <v>6000</v>
      </c>
      <c r="J351" s="19" t="s">
        <v>180</v>
      </c>
      <c r="K351" s="86" t="s">
        <v>271</v>
      </c>
      <c r="M351" s="19">
        <v>0</v>
      </c>
      <c r="N351" s="19" t="s">
        <v>205</v>
      </c>
      <c r="P351" s="19">
        <v>72</v>
      </c>
      <c r="Q351" s="19" t="s">
        <v>183</v>
      </c>
    </row>
    <row r="352" spans="1:17" ht="15" customHeight="1">
      <c r="A352" s="27">
        <v>32</v>
      </c>
      <c r="B352" s="27">
        <v>50</v>
      </c>
      <c r="E352" s="19" t="s">
        <v>192</v>
      </c>
      <c r="F352" s="19" t="s">
        <v>273</v>
      </c>
      <c r="G352" s="19" t="s">
        <v>178</v>
      </c>
      <c r="I352" s="19">
        <v>6000</v>
      </c>
      <c r="J352" s="19" t="s">
        <v>180</v>
      </c>
      <c r="K352" s="86" t="s">
        <v>271</v>
      </c>
      <c r="M352" s="19">
        <v>0.2</v>
      </c>
      <c r="N352" s="19" t="s">
        <v>205</v>
      </c>
      <c r="P352" s="19">
        <v>72</v>
      </c>
      <c r="Q352" s="19" t="s">
        <v>183</v>
      </c>
    </row>
    <row r="353" spans="1:17" ht="15" customHeight="1">
      <c r="A353" s="27">
        <v>32</v>
      </c>
      <c r="B353" s="27">
        <v>51</v>
      </c>
      <c r="E353" s="19" t="s">
        <v>192</v>
      </c>
      <c r="F353" s="19" t="s">
        <v>273</v>
      </c>
      <c r="G353" s="19" t="s">
        <v>178</v>
      </c>
      <c r="I353" s="19">
        <v>6000</v>
      </c>
      <c r="J353" s="19" t="s">
        <v>180</v>
      </c>
      <c r="K353" s="86" t="s">
        <v>271</v>
      </c>
      <c r="M353" s="19">
        <v>0.6</v>
      </c>
      <c r="N353" s="19" t="s">
        <v>205</v>
      </c>
      <c r="P353" s="19">
        <v>72</v>
      </c>
      <c r="Q353" s="19" t="s">
        <v>183</v>
      </c>
    </row>
    <row r="354" spans="1:17" ht="15" customHeight="1">
      <c r="A354" s="27">
        <v>32</v>
      </c>
      <c r="B354" s="27">
        <v>52</v>
      </c>
      <c r="E354" s="19" t="s">
        <v>192</v>
      </c>
      <c r="F354" s="19" t="s">
        <v>273</v>
      </c>
      <c r="G354" s="19" t="s">
        <v>178</v>
      </c>
      <c r="I354" s="19">
        <v>6000</v>
      </c>
      <c r="J354" s="19" t="s">
        <v>180</v>
      </c>
      <c r="K354" s="86" t="s">
        <v>271</v>
      </c>
      <c r="M354" s="19">
        <v>1.3</v>
      </c>
      <c r="N354" s="19" t="s">
        <v>205</v>
      </c>
      <c r="P354" s="19">
        <v>72</v>
      </c>
      <c r="Q354" s="19" t="s">
        <v>183</v>
      </c>
    </row>
    <row r="355" spans="1:17" ht="15" customHeight="1">
      <c r="A355" s="27">
        <v>32</v>
      </c>
      <c r="B355" s="27">
        <v>53</v>
      </c>
      <c r="E355" s="19" t="s">
        <v>192</v>
      </c>
      <c r="F355" s="19" t="s">
        <v>273</v>
      </c>
      <c r="G355" s="19" t="s">
        <v>178</v>
      </c>
      <c r="I355" s="19">
        <v>6000</v>
      </c>
      <c r="J355" s="19" t="s">
        <v>180</v>
      </c>
      <c r="K355" s="86" t="s">
        <v>271</v>
      </c>
      <c r="M355" s="19">
        <v>3</v>
      </c>
      <c r="N355" s="19" t="s">
        <v>205</v>
      </c>
      <c r="P355" s="19">
        <v>72</v>
      </c>
      <c r="Q355" s="19" t="s">
        <v>183</v>
      </c>
    </row>
    <row r="356" spans="1:17" ht="15" customHeight="1">
      <c r="A356" s="27">
        <v>32</v>
      </c>
      <c r="B356" s="27">
        <v>54</v>
      </c>
      <c r="E356" s="19" t="s">
        <v>192</v>
      </c>
      <c r="F356" s="19" t="s">
        <v>273</v>
      </c>
      <c r="G356" s="19" t="s">
        <v>178</v>
      </c>
      <c r="I356" s="19">
        <v>6000</v>
      </c>
      <c r="J356" s="19" t="s">
        <v>180</v>
      </c>
      <c r="K356" s="86" t="s">
        <v>271</v>
      </c>
      <c r="M356" s="19">
        <v>6</v>
      </c>
      <c r="N356" s="19" t="s">
        <v>205</v>
      </c>
      <c r="P356" s="19">
        <v>72</v>
      </c>
      <c r="Q356" s="19" t="s">
        <v>183</v>
      </c>
    </row>
    <row r="357" spans="1:17" ht="15" customHeight="1">
      <c r="A357" s="27">
        <v>32</v>
      </c>
      <c r="B357" s="27">
        <v>55</v>
      </c>
      <c r="E357" s="19" t="s">
        <v>192</v>
      </c>
      <c r="F357" s="19" t="s">
        <v>273</v>
      </c>
      <c r="G357" s="19" t="s">
        <v>178</v>
      </c>
      <c r="I357" s="19">
        <v>6000</v>
      </c>
      <c r="J357" s="19" t="s">
        <v>180</v>
      </c>
      <c r="K357" s="86" t="s">
        <v>271</v>
      </c>
      <c r="M357" s="19">
        <v>0</v>
      </c>
      <c r="N357" s="19" t="s">
        <v>205</v>
      </c>
      <c r="P357" s="19">
        <v>24</v>
      </c>
      <c r="Q357" s="19" t="s">
        <v>183</v>
      </c>
    </row>
    <row r="358" spans="1:17" ht="15" customHeight="1">
      <c r="A358" s="27">
        <v>32</v>
      </c>
      <c r="B358" s="27">
        <v>56</v>
      </c>
      <c r="E358" s="19" t="s">
        <v>192</v>
      </c>
      <c r="F358" s="19" t="s">
        <v>273</v>
      </c>
      <c r="G358" s="19" t="s">
        <v>178</v>
      </c>
      <c r="I358" s="19">
        <v>6000</v>
      </c>
      <c r="J358" s="19" t="s">
        <v>180</v>
      </c>
      <c r="K358" s="86" t="s">
        <v>271</v>
      </c>
      <c r="M358" s="19">
        <v>0.2</v>
      </c>
      <c r="N358" s="19" t="s">
        <v>205</v>
      </c>
      <c r="P358" s="19">
        <v>24</v>
      </c>
      <c r="Q358" s="19" t="s">
        <v>183</v>
      </c>
    </row>
    <row r="359" spans="1:17" ht="15" customHeight="1">
      <c r="A359" s="27">
        <v>32</v>
      </c>
      <c r="B359" s="27">
        <v>57</v>
      </c>
      <c r="E359" s="19" t="s">
        <v>192</v>
      </c>
      <c r="F359" s="19" t="s">
        <v>273</v>
      </c>
      <c r="G359" s="19" t="s">
        <v>178</v>
      </c>
      <c r="I359" s="19">
        <v>6000</v>
      </c>
      <c r="J359" s="19" t="s">
        <v>180</v>
      </c>
      <c r="K359" s="86" t="s">
        <v>271</v>
      </c>
      <c r="M359" s="19">
        <v>0.6</v>
      </c>
      <c r="N359" s="19" t="s">
        <v>205</v>
      </c>
      <c r="P359" s="19">
        <v>24</v>
      </c>
      <c r="Q359" s="19" t="s">
        <v>183</v>
      </c>
    </row>
    <row r="360" spans="1:17" ht="15" customHeight="1">
      <c r="A360" s="27">
        <v>32</v>
      </c>
      <c r="B360" s="27">
        <v>58</v>
      </c>
      <c r="E360" s="19" t="s">
        <v>192</v>
      </c>
      <c r="F360" s="19" t="s">
        <v>273</v>
      </c>
      <c r="G360" s="19" t="s">
        <v>178</v>
      </c>
      <c r="I360" s="19">
        <v>6000</v>
      </c>
      <c r="J360" s="19" t="s">
        <v>180</v>
      </c>
      <c r="K360" s="86" t="s">
        <v>271</v>
      </c>
      <c r="M360" s="19">
        <v>1.3</v>
      </c>
      <c r="N360" s="19" t="s">
        <v>205</v>
      </c>
      <c r="P360" s="19">
        <v>24</v>
      </c>
      <c r="Q360" s="19" t="s">
        <v>183</v>
      </c>
    </row>
    <row r="361" spans="1:17" ht="15" customHeight="1">
      <c r="A361" s="27">
        <v>32</v>
      </c>
      <c r="B361" s="27">
        <v>59</v>
      </c>
      <c r="E361" s="19" t="s">
        <v>192</v>
      </c>
      <c r="F361" s="19" t="s">
        <v>273</v>
      </c>
      <c r="G361" s="19" t="s">
        <v>178</v>
      </c>
      <c r="I361" s="19">
        <v>6000</v>
      </c>
      <c r="J361" s="19" t="s">
        <v>180</v>
      </c>
      <c r="K361" s="86" t="s">
        <v>271</v>
      </c>
      <c r="M361" s="19">
        <v>3</v>
      </c>
      <c r="N361" s="19" t="s">
        <v>205</v>
      </c>
      <c r="P361" s="19">
        <v>24</v>
      </c>
      <c r="Q361" s="19" t="s">
        <v>183</v>
      </c>
    </row>
    <row r="362" spans="1:17" ht="15" customHeight="1">
      <c r="A362" s="27">
        <v>32</v>
      </c>
      <c r="B362" s="27">
        <v>60</v>
      </c>
      <c r="E362" s="19" t="s">
        <v>192</v>
      </c>
      <c r="F362" s="19" t="s">
        <v>273</v>
      </c>
      <c r="G362" s="19" t="s">
        <v>178</v>
      </c>
      <c r="I362" s="19">
        <v>6000</v>
      </c>
      <c r="J362" s="19" t="s">
        <v>180</v>
      </c>
      <c r="K362" s="86" t="s">
        <v>271</v>
      </c>
      <c r="M362" s="19">
        <v>6</v>
      </c>
      <c r="N362" s="19" t="s">
        <v>205</v>
      </c>
      <c r="P362" s="19">
        <v>24</v>
      </c>
      <c r="Q362" s="19" t="s">
        <v>183</v>
      </c>
    </row>
    <row r="363" spans="1:17" ht="15" customHeight="1">
      <c r="A363" s="27">
        <v>32</v>
      </c>
      <c r="B363" s="27">
        <v>61</v>
      </c>
      <c r="E363" s="19" t="s">
        <v>192</v>
      </c>
      <c r="F363" s="19" t="s">
        <v>273</v>
      </c>
      <c r="G363" s="19" t="s">
        <v>178</v>
      </c>
      <c r="I363" s="19">
        <v>6000</v>
      </c>
      <c r="J363" s="19" t="s">
        <v>180</v>
      </c>
      <c r="K363" s="86" t="s">
        <v>271</v>
      </c>
      <c r="M363" s="19">
        <v>0</v>
      </c>
      <c r="N363" s="19" t="s">
        <v>205</v>
      </c>
      <c r="P363" s="19">
        <v>48</v>
      </c>
      <c r="Q363" s="19" t="s">
        <v>183</v>
      </c>
    </row>
    <row r="364" spans="1:17" ht="15" customHeight="1">
      <c r="A364" s="27">
        <v>32</v>
      </c>
      <c r="B364" s="27">
        <v>62</v>
      </c>
      <c r="E364" s="19" t="s">
        <v>192</v>
      </c>
      <c r="F364" s="19" t="s">
        <v>273</v>
      </c>
      <c r="G364" s="19" t="s">
        <v>178</v>
      </c>
      <c r="I364" s="19">
        <v>6000</v>
      </c>
      <c r="J364" s="19" t="s">
        <v>180</v>
      </c>
      <c r="K364" s="86" t="s">
        <v>271</v>
      </c>
      <c r="M364" s="19">
        <v>0.2</v>
      </c>
      <c r="N364" s="19" t="s">
        <v>205</v>
      </c>
      <c r="P364" s="19">
        <v>48</v>
      </c>
      <c r="Q364" s="19" t="s">
        <v>183</v>
      </c>
    </row>
    <row r="365" spans="1:17" ht="15" customHeight="1">
      <c r="A365" s="27">
        <v>32</v>
      </c>
      <c r="B365" s="27">
        <v>63</v>
      </c>
      <c r="E365" s="19" t="s">
        <v>192</v>
      </c>
      <c r="F365" s="19" t="s">
        <v>273</v>
      </c>
      <c r="G365" s="19" t="s">
        <v>178</v>
      </c>
      <c r="I365" s="19">
        <v>6000</v>
      </c>
      <c r="J365" s="19" t="s">
        <v>180</v>
      </c>
      <c r="K365" s="86" t="s">
        <v>271</v>
      </c>
      <c r="M365" s="19">
        <v>0.6</v>
      </c>
      <c r="N365" s="19" t="s">
        <v>205</v>
      </c>
      <c r="P365" s="19">
        <v>48</v>
      </c>
      <c r="Q365" s="19" t="s">
        <v>183</v>
      </c>
    </row>
    <row r="366" spans="1:17" ht="15" customHeight="1">
      <c r="A366" s="27">
        <v>32</v>
      </c>
      <c r="B366" s="27">
        <v>64</v>
      </c>
      <c r="E366" s="19" t="s">
        <v>192</v>
      </c>
      <c r="F366" s="19" t="s">
        <v>273</v>
      </c>
      <c r="G366" s="19" t="s">
        <v>178</v>
      </c>
      <c r="I366" s="19">
        <v>6000</v>
      </c>
      <c r="J366" s="19" t="s">
        <v>180</v>
      </c>
      <c r="K366" s="86" t="s">
        <v>271</v>
      </c>
      <c r="M366" s="19">
        <v>1.3</v>
      </c>
      <c r="N366" s="19" t="s">
        <v>205</v>
      </c>
      <c r="P366" s="19">
        <v>48</v>
      </c>
      <c r="Q366" s="19" t="s">
        <v>183</v>
      </c>
    </row>
    <row r="367" spans="1:17" ht="15" customHeight="1">
      <c r="A367" s="27">
        <v>32</v>
      </c>
      <c r="B367" s="27">
        <v>65</v>
      </c>
      <c r="E367" s="19" t="s">
        <v>192</v>
      </c>
      <c r="F367" s="19" t="s">
        <v>273</v>
      </c>
      <c r="G367" s="19" t="s">
        <v>178</v>
      </c>
      <c r="I367" s="19">
        <v>6000</v>
      </c>
      <c r="J367" s="19" t="s">
        <v>180</v>
      </c>
      <c r="K367" s="86" t="s">
        <v>271</v>
      </c>
      <c r="M367" s="19">
        <v>3</v>
      </c>
      <c r="N367" s="19" t="s">
        <v>205</v>
      </c>
      <c r="P367" s="19">
        <v>48</v>
      </c>
      <c r="Q367" s="19" t="s">
        <v>183</v>
      </c>
    </row>
    <row r="368" spans="1:17" ht="15" customHeight="1">
      <c r="A368" s="27">
        <v>32</v>
      </c>
      <c r="B368" s="27">
        <v>66</v>
      </c>
      <c r="E368" s="19" t="s">
        <v>192</v>
      </c>
      <c r="F368" s="19" t="s">
        <v>273</v>
      </c>
      <c r="G368" s="19" t="s">
        <v>178</v>
      </c>
      <c r="I368" s="19">
        <v>6000</v>
      </c>
      <c r="J368" s="19" t="s">
        <v>180</v>
      </c>
      <c r="K368" s="86" t="s">
        <v>271</v>
      </c>
      <c r="M368" s="19">
        <v>6</v>
      </c>
      <c r="N368" s="19" t="s">
        <v>205</v>
      </c>
      <c r="P368" s="19">
        <v>48</v>
      </c>
      <c r="Q368" s="19" t="s">
        <v>183</v>
      </c>
    </row>
    <row r="369" spans="1:21" ht="15" customHeight="1">
      <c r="A369" s="27">
        <v>32</v>
      </c>
      <c r="B369" s="27">
        <v>67</v>
      </c>
      <c r="E369" s="19" t="s">
        <v>192</v>
      </c>
      <c r="F369" s="19" t="s">
        <v>273</v>
      </c>
      <c r="G369" s="19" t="s">
        <v>178</v>
      </c>
      <c r="I369" s="19">
        <v>6000</v>
      </c>
      <c r="J369" s="19" t="s">
        <v>180</v>
      </c>
      <c r="K369" s="86" t="s">
        <v>271</v>
      </c>
      <c r="M369" s="19">
        <v>0</v>
      </c>
      <c r="N369" s="19" t="s">
        <v>205</v>
      </c>
      <c r="P369" s="19">
        <v>72</v>
      </c>
      <c r="Q369" s="19" t="s">
        <v>183</v>
      </c>
    </row>
    <row r="370" spans="1:21" ht="15" customHeight="1">
      <c r="A370" s="27">
        <v>32</v>
      </c>
      <c r="B370" s="27">
        <v>68</v>
      </c>
      <c r="E370" s="19" t="s">
        <v>192</v>
      </c>
      <c r="F370" s="19" t="s">
        <v>273</v>
      </c>
      <c r="G370" s="19" t="s">
        <v>178</v>
      </c>
      <c r="I370" s="19">
        <v>6000</v>
      </c>
      <c r="J370" s="19" t="s">
        <v>180</v>
      </c>
      <c r="K370" s="86" t="s">
        <v>271</v>
      </c>
      <c r="M370" s="19">
        <v>0.2</v>
      </c>
      <c r="N370" s="19" t="s">
        <v>205</v>
      </c>
      <c r="P370" s="19">
        <v>72</v>
      </c>
      <c r="Q370" s="19" t="s">
        <v>183</v>
      </c>
    </row>
    <row r="371" spans="1:21" ht="15" customHeight="1">
      <c r="A371" s="27">
        <v>32</v>
      </c>
      <c r="B371" s="27">
        <v>69</v>
      </c>
      <c r="E371" s="19" t="s">
        <v>192</v>
      </c>
      <c r="F371" s="19" t="s">
        <v>273</v>
      </c>
      <c r="G371" s="19" t="s">
        <v>178</v>
      </c>
      <c r="I371" s="19">
        <v>6000</v>
      </c>
      <c r="J371" s="19" t="s">
        <v>180</v>
      </c>
      <c r="K371" s="86" t="s">
        <v>271</v>
      </c>
      <c r="M371" s="19">
        <v>0.6</v>
      </c>
      <c r="N371" s="19" t="s">
        <v>205</v>
      </c>
      <c r="P371" s="19">
        <v>72</v>
      </c>
      <c r="Q371" s="19" t="s">
        <v>183</v>
      </c>
    </row>
    <row r="372" spans="1:21" ht="15" customHeight="1">
      <c r="A372" s="27">
        <v>32</v>
      </c>
      <c r="B372" s="27">
        <v>70</v>
      </c>
      <c r="E372" s="19" t="s">
        <v>192</v>
      </c>
      <c r="F372" s="19" t="s">
        <v>273</v>
      </c>
      <c r="G372" s="19" t="s">
        <v>178</v>
      </c>
      <c r="I372" s="19">
        <v>6000</v>
      </c>
      <c r="J372" s="19" t="s">
        <v>180</v>
      </c>
      <c r="K372" s="86" t="s">
        <v>271</v>
      </c>
      <c r="M372" s="19">
        <v>1.3</v>
      </c>
      <c r="N372" s="19" t="s">
        <v>205</v>
      </c>
      <c r="P372" s="19">
        <v>72</v>
      </c>
      <c r="Q372" s="19" t="s">
        <v>183</v>
      </c>
    </row>
    <row r="373" spans="1:21" ht="15" customHeight="1">
      <c r="A373" s="27">
        <v>32</v>
      </c>
      <c r="B373" s="27">
        <v>71</v>
      </c>
      <c r="E373" s="19" t="s">
        <v>192</v>
      </c>
      <c r="F373" s="19" t="s">
        <v>273</v>
      </c>
      <c r="G373" s="19" t="s">
        <v>178</v>
      </c>
      <c r="I373" s="19">
        <v>6000</v>
      </c>
      <c r="J373" s="19" t="s">
        <v>180</v>
      </c>
      <c r="K373" s="86" t="s">
        <v>271</v>
      </c>
      <c r="M373" s="19">
        <v>3</v>
      </c>
      <c r="N373" s="19" t="s">
        <v>205</v>
      </c>
      <c r="P373" s="19">
        <v>72</v>
      </c>
      <c r="Q373" s="19" t="s">
        <v>183</v>
      </c>
    </row>
    <row r="374" spans="1:21" ht="15" customHeight="1">
      <c r="A374" s="27">
        <v>32</v>
      </c>
      <c r="B374" s="27">
        <v>72</v>
      </c>
      <c r="E374" s="19" t="s">
        <v>192</v>
      </c>
      <c r="F374" s="19" t="s">
        <v>273</v>
      </c>
      <c r="G374" s="19" t="s">
        <v>178</v>
      </c>
      <c r="I374" s="19">
        <v>6000</v>
      </c>
      <c r="J374" s="19" t="s">
        <v>180</v>
      </c>
      <c r="K374" s="86" t="s">
        <v>271</v>
      </c>
      <c r="M374" s="19">
        <v>6</v>
      </c>
      <c r="N374" s="19" t="s">
        <v>205</v>
      </c>
      <c r="P374" s="19">
        <v>72</v>
      </c>
      <c r="Q374" s="19" t="s">
        <v>183</v>
      </c>
    </row>
    <row r="375" spans="1:21" s="18" customFormat="1" ht="15" customHeight="1">
      <c r="A375" s="41">
        <v>33</v>
      </c>
      <c r="B375" s="18">
        <v>1</v>
      </c>
      <c r="E375" s="18" t="s">
        <v>176</v>
      </c>
      <c r="F375" s="18" t="s">
        <v>274</v>
      </c>
      <c r="G375" s="18" t="s">
        <v>178</v>
      </c>
      <c r="H375" s="18" t="s">
        <v>179</v>
      </c>
      <c r="I375" s="18">
        <v>1000000</v>
      </c>
      <c r="J375" s="18" t="s">
        <v>180</v>
      </c>
      <c r="K375" s="41"/>
      <c r="O375" s="80"/>
      <c r="P375" s="18">
        <v>24</v>
      </c>
      <c r="Q375" s="18" t="s">
        <v>183</v>
      </c>
      <c r="R375" s="18">
        <v>37</v>
      </c>
      <c r="S375" s="13" t="s">
        <v>184</v>
      </c>
      <c r="T375" s="18">
        <v>5</v>
      </c>
      <c r="U375" s="18" t="s">
        <v>189</v>
      </c>
    </row>
    <row r="376" spans="1:21" ht="15" customHeight="1">
      <c r="A376" s="27">
        <v>33</v>
      </c>
      <c r="B376" s="19">
        <v>2</v>
      </c>
      <c r="E376" s="19" t="s">
        <v>176</v>
      </c>
      <c r="F376" s="19" t="s">
        <v>274</v>
      </c>
      <c r="G376" s="19" t="s">
        <v>178</v>
      </c>
      <c r="H376" s="19" t="s">
        <v>179</v>
      </c>
      <c r="I376" s="19">
        <v>1000000</v>
      </c>
      <c r="J376" s="19" t="s">
        <v>180</v>
      </c>
      <c r="P376" s="19">
        <v>24</v>
      </c>
      <c r="Q376" s="19" t="s">
        <v>183</v>
      </c>
      <c r="R376" s="19">
        <v>37</v>
      </c>
      <c r="S376" s="9" t="s">
        <v>184</v>
      </c>
      <c r="T376" s="19">
        <v>5</v>
      </c>
      <c r="U376" s="19" t="s">
        <v>189</v>
      </c>
    </row>
    <row r="377" spans="1:21" ht="15" customHeight="1">
      <c r="A377" s="27">
        <v>33</v>
      </c>
      <c r="B377" s="19">
        <v>3</v>
      </c>
      <c r="E377" s="19" t="s">
        <v>176</v>
      </c>
      <c r="F377" s="19" t="s">
        <v>274</v>
      </c>
      <c r="G377" s="19" t="s">
        <v>178</v>
      </c>
      <c r="H377" s="19" t="s">
        <v>179</v>
      </c>
      <c r="I377" s="19">
        <v>1000000</v>
      </c>
      <c r="J377" s="19" t="s">
        <v>180</v>
      </c>
      <c r="P377" s="19">
        <v>24</v>
      </c>
      <c r="Q377" s="19" t="s">
        <v>183</v>
      </c>
      <c r="R377" s="19">
        <v>37</v>
      </c>
      <c r="S377" s="9" t="s">
        <v>184</v>
      </c>
      <c r="T377" s="19">
        <v>5</v>
      </c>
      <c r="U377" s="19" t="s">
        <v>189</v>
      </c>
    </row>
    <row r="378" spans="1:21" ht="15" customHeight="1">
      <c r="A378" s="27">
        <v>33</v>
      </c>
      <c r="B378" s="19">
        <v>4</v>
      </c>
      <c r="E378" s="19" t="s">
        <v>176</v>
      </c>
      <c r="F378" s="19" t="s">
        <v>274</v>
      </c>
      <c r="G378" s="19" t="s">
        <v>178</v>
      </c>
      <c r="H378" s="19" t="s">
        <v>179</v>
      </c>
      <c r="I378" s="19">
        <v>1000000</v>
      </c>
      <c r="J378" s="19" t="s">
        <v>180</v>
      </c>
      <c r="P378" s="19">
        <v>24</v>
      </c>
      <c r="Q378" s="19" t="s">
        <v>183</v>
      </c>
      <c r="R378" s="19">
        <v>37</v>
      </c>
      <c r="S378" s="9" t="s">
        <v>184</v>
      </c>
      <c r="T378" s="19">
        <v>5</v>
      </c>
      <c r="U378" s="19" t="s">
        <v>189</v>
      </c>
    </row>
    <row r="379" spans="1:21" s="18" customFormat="1" ht="15" customHeight="1">
      <c r="A379" s="41">
        <v>34</v>
      </c>
      <c r="B379" s="41">
        <v>1</v>
      </c>
      <c r="E379" s="18" t="s">
        <v>192</v>
      </c>
      <c r="F379" s="18" t="s">
        <v>275</v>
      </c>
      <c r="H379" s="18" t="s">
        <v>203</v>
      </c>
      <c r="I379" s="18">
        <v>160000</v>
      </c>
      <c r="J379" s="18" t="s">
        <v>180</v>
      </c>
      <c r="K379" s="85" t="s">
        <v>271</v>
      </c>
      <c r="O379" s="80"/>
      <c r="P379" s="18">
        <v>24</v>
      </c>
      <c r="Q379" s="18" t="s">
        <v>183</v>
      </c>
      <c r="R379" s="18">
        <v>37</v>
      </c>
      <c r="S379" s="13" t="s">
        <v>184</v>
      </c>
    </row>
    <row r="380" spans="1:21" ht="15" customHeight="1">
      <c r="A380" s="27">
        <v>34</v>
      </c>
      <c r="B380" s="27">
        <v>2</v>
      </c>
      <c r="E380" s="19" t="s">
        <v>192</v>
      </c>
      <c r="F380" s="19" t="s">
        <v>275</v>
      </c>
      <c r="H380" s="19" t="s">
        <v>203</v>
      </c>
      <c r="I380" s="19">
        <v>160000</v>
      </c>
      <c r="J380" s="19" t="s">
        <v>180</v>
      </c>
      <c r="K380" s="86" t="s">
        <v>271</v>
      </c>
      <c r="P380" s="19">
        <v>168</v>
      </c>
      <c r="Q380" s="19" t="s">
        <v>183</v>
      </c>
      <c r="R380" s="19">
        <v>37</v>
      </c>
      <c r="S380" s="9" t="s">
        <v>184</v>
      </c>
    </row>
    <row r="381" spans="1:21" ht="15" customHeight="1">
      <c r="A381" s="27">
        <v>34</v>
      </c>
      <c r="B381" s="27">
        <v>3</v>
      </c>
      <c r="E381" s="19" t="s">
        <v>192</v>
      </c>
      <c r="F381" s="19" t="s">
        <v>275</v>
      </c>
      <c r="H381" s="19" t="s">
        <v>203</v>
      </c>
      <c r="I381" s="19">
        <v>160000</v>
      </c>
      <c r="J381" s="19" t="s">
        <v>180</v>
      </c>
      <c r="K381" s="86" t="s">
        <v>271</v>
      </c>
      <c r="P381" s="19">
        <v>24</v>
      </c>
      <c r="Q381" s="19" t="s">
        <v>183</v>
      </c>
      <c r="R381" s="19">
        <v>37</v>
      </c>
      <c r="S381" s="9" t="s">
        <v>184</v>
      </c>
    </row>
    <row r="382" spans="1:21" ht="15" customHeight="1">
      <c r="A382" s="27">
        <v>34</v>
      </c>
      <c r="B382" s="27">
        <v>4</v>
      </c>
      <c r="E382" s="19" t="s">
        <v>192</v>
      </c>
      <c r="F382" s="19" t="s">
        <v>275</v>
      </c>
      <c r="H382" s="19" t="s">
        <v>203</v>
      </c>
      <c r="I382" s="19">
        <v>160000</v>
      </c>
      <c r="J382" s="19" t="s">
        <v>180</v>
      </c>
      <c r="K382" s="86" t="s">
        <v>271</v>
      </c>
      <c r="P382" s="19">
        <v>168</v>
      </c>
      <c r="Q382" s="19" t="s">
        <v>183</v>
      </c>
      <c r="R382" s="19">
        <v>37</v>
      </c>
      <c r="S382" s="9" t="s">
        <v>184</v>
      </c>
    </row>
    <row r="383" spans="1:21" ht="15" customHeight="1">
      <c r="A383" s="27">
        <v>34</v>
      </c>
      <c r="B383" s="27">
        <v>5</v>
      </c>
      <c r="E383" s="19" t="s">
        <v>192</v>
      </c>
      <c r="F383" s="19" t="s">
        <v>275</v>
      </c>
      <c r="H383" s="19" t="s">
        <v>203</v>
      </c>
      <c r="I383" s="19">
        <v>160000</v>
      </c>
      <c r="J383" s="19" t="s">
        <v>180</v>
      </c>
      <c r="K383" s="86" t="s">
        <v>271</v>
      </c>
      <c r="P383" s="19">
        <v>24</v>
      </c>
      <c r="Q383" s="19" t="s">
        <v>183</v>
      </c>
      <c r="R383" s="19">
        <v>37</v>
      </c>
      <c r="S383" s="9" t="s">
        <v>184</v>
      </c>
    </row>
    <row r="384" spans="1:21" ht="15" customHeight="1">
      <c r="A384" s="27">
        <v>34</v>
      </c>
      <c r="B384" s="27">
        <v>6</v>
      </c>
      <c r="E384" s="19" t="s">
        <v>192</v>
      </c>
      <c r="F384" s="19" t="s">
        <v>275</v>
      </c>
      <c r="H384" s="19" t="s">
        <v>203</v>
      </c>
      <c r="I384" s="19">
        <v>160000</v>
      </c>
      <c r="J384" s="19" t="s">
        <v>180</v>
      </c>
      <c r="K384" s="86" t="s">
        <v>271</v>
      </c>
      <c r="P384" s="19">
        <v>168</v>
      </c>
      <c r="Q384" s="19" t="s">
        <v>183</v>
      </c>
      <c r="R384" s="19">
        <v>37</v>
      </c>
      <c r="S384" s="9" t="s">
        <v>184</v>
      </c>
    </row>
    <row r="385" spans="1:19" s="18" customFormat="1" ht="15" customHeight="1">
      <c r="A385" s="41">
        <v>35</v>
      </c>
      <c r="B385" s="41">
        <v>1</v>
      </c>
      <c r="E385" s="18" t="s">
        <v>276</v>
      </c>
      <c r="F385" s="18" t="s">
        <v>277</v>
      </c>
      <c r="G385" s="18" t="s">
        <v>278</v>
      </c>
      <c r="H385" s="18" t="s">
        <v>220</v>
      </c>
      <c r="I385" s="18">
        <v>20000</v>
      </c>
      <c r="J385" s="18" t="s">
        <v>180</v>
      </c>
      <c r="K385" s="41" t="s">
        <v>279</v>
      </c>
      <c r="O385" s="80"/>
      <c r="P385" s="18">
        <v>48</v>
      </c>
      <c r="Q385" s="18" t="s">
        <v>183</v>
      </c>
      <c r="R385" s="18">
        <v>37</v>
      </c>
      <c r="S385" s="13" t="s">
        <v>184</v>
      </c>
    </row>
    <row r="386" spans="1:19" ht="15" customHeight="1">
      <c r="A386" s="27">
        <v>35</v>
      </c>
      <c r="B386" s="27">
        <v>2</v>
      </c>
      <c r="E386" s="19" t="s">
        <v>276</v>
      </c>
      <c r="F386" s="62" t="s">
        <v>277</v>
      </c>
      <c r="G386" s="62" t="s">
        <v>278</v>
      </c>
      <c r="H386" s="19" t="s">
        <v>220</v>
      </c>
      <c r="I386" s="19">
        <v>20000</v>
      </c>
      <c r="J386" s="19" t="s">
        <v>180</v>
      </c>
      <c r="K386" s="27" t="s">
        <v>279</v>
      </c>
      <c r="P386" s="19">
        <v>48</v>
      </c>
      <c r="Q386" s="19" t="s">
        <v>183</v>
      </c>
      <c r="R386" s="19">
        <v>37</v>
      </c>
      <c r="S386" s="9" t="s">
        <v>184</v>
      </c>
    </row>
    <row r="387" spans="1:19" s="18" customFormat="1" ht="15" customHeight="1">
      <c r="A387" s="18">
        <v>36</v>
      </c>
      <c r="B387" s="18">
        <v>1</v>
      </c>
      <c r="E387" s="18" t="s">
        <v>192</v>
      </c>
      <c r="F387" s="19" t="s">
        <v>230</v>
      </c>
      <c r="G387" s="19" t="s">
        <v>178</v>
      </c>
      <c r="H387" s="18" t="s">
        <v>203</v>
      </c>
      <c r="K387" s="41"/>
      <c r="M387" s="18">
        <v>10</v>
      </c>
      <c r="N387" s="18" t="s">
        <v>240</v>
      </c>
      <c r="O387" s="80"/>
      <c r="P387" s="18">
        <v>24</v>
      </c>
      <c r="Q387" s="18" t="s">
        <v>183</v>
      </c>
      <c r="R387" s="18">
        <v>37</v>
      </c>
      <c r="S387" s="13" t="s">
        <v>184</v>
      </c>
    </row>
    <row r="388" spans="1:19" ht="15" customHeight="1">
      <c r="A388" s="19">
        <v>36</v>
      </c>
      <c r="B388" s="19">
        <v>2</v>
      </c>
      <c r="E388" s="19" t="s">
        <v>192</v>
      </c>
      <c r="F388" s="19" t="s">
        <v>230</v>
      </c>
      <c r="G388" s="19" t="s">
        <v>178</v>
      </c>
      <c r="H388" s="19" t="s">
        <v>203</v>
      </c>
      <c r="M388" s="19">
        <v>20</v>
      </c>
      <c r="N388" s="19" t="s">
        <v>240</v>
      </c>
      <c r="P388" s="19">
        <v>24</v>
      </c>
      <c r="Q388" s="19" t="s">
        <v>183</v>
      </c>
      <c r="R388" s="19">
        <v>37</v>
      </c>
      <c r="S388" s="9" t="s">
        <v>184</v>
      </c>
    </row>
    <row r="389" spans="1:19" ht="15" customHeight="1">
      <c r="A389" s="19">
        <v>36</v>
      </c>
      <c r="B389" s="19">
        <v>3</v>
      </c>
      <c r="E389" s="19" t="s">
        <v>192</v>
      </c>
      <c r="F389" s="19" t="s">
        <v>230</v>
      </c>
      <c r="G389" s="19" t="s">
        <v>178</v>
      </c>
      <c r="H389" s="19" t="s">
        <v>203</v>
      </c>
      <c r="M389" s="19">
        <v>30</v>
      </c>
      <c r="N389" s="19" t="s">
        <v>240</v>
      </c>
      <c r="P389" s="19">
        <v>24</v>
      </c>
      <c r="Q389" s="19" t="s">
        <v>183</v>
      </c>
      <c r="R389" s="19">
        <v>37</v>
      </c>
      <c r="S389" s="9" t="s">
        <v>184</v>
      </c>
    </row>
    <row r="390" spans="1:19" ht="15" customHeight="1">
      <c r="A390" s="19">
        <v>36</v>
      </c>
      <c r="B390" s="19">
        <v>4</v>
      </c>
      <c r="E390" s="19" t="s">
        <v>192</v>
      </c>
      <c r="F390" s="19" t="s">
        <v>230</v>
      </c>
      <c r="G390" s="19" t="s">
        <v>178</v>
      </c>
      <c r="H390" s="19" t="s">
        <v>203</v>
      </c>
      <c r="M390" s="19">
        <v>40</v>
      </c>
      <c r="N390" s="19" t="s">
        <v>240</v>
      </c>
      <c r="P390" s="19">
        <v>24</v>
      </c>
      <c r="Q390" s="19" t="s">
        <v>183</v>
      </c>
      <c r="R390" s="19">
        <v>37</v>
      </c>
      <c r="S390" s="9" t="s">
        <v>184</v>
      </c>
    </row>
    <row r="391" spans="1:19" ht="15" customHeight="1">
      <c r="A391" s="19">
        <v>36</v>
      </c>
      <c r="B391" s="19">
        <v>5</v>
      </c>
      <c r="E391" s="19" t="s">
        <v>192</v>
      </c>
      <c r="F391" s="19" t="s">
        <v>230</v>
      </c>
      <c r="G391" s="19" t="s">
        <v>178</v>
      </c>
      <c r="H391" s="19" t="s">
        <v>203</v>
      </c>
      <c r="M391" s="19">
        <v>50</v>
      </c>
      <c r="N391" s="19" t="s">
        <v>240</v>
      </c>
      <c r="P391" s="19">
        <v>24</v>
      </c>
      <c r="Q391" s="19" t="s">
        <v>183</v>
      </c>
      <c r="R391" s="19">
        <v>37</v>
      </c>
      <c r="S391" s="9" t="s">
        <v>184</v>
      </c>
    </row>
    <row r="392" spans="1:19" ht="15" customHeight="1">
      <c r="A392" s="19">
        <v>36</v>
      </c>
      <c r="B392" s="19">
        <v>6</v>
      </c>
      <c r="E392" s="19" t="s">
        <v>192</v>
      </c>
      <c r="F392" s="19" t="s">
        <v>230</v>
      </c>
      <c r="G392" s="19" t="s">
        <v>178</v>
      </c>
      <c r="H392" s="19" t="s">
        <v>203</v>
      </c>
      <c r="M392" s="19">
        <v>60</v>
      </c>
      <c r="N392" s="19" t="s">
        <v>240</v>
      </c>
      <c r="P392" s="19">
        <v>24</v>
      </c>
      <c r="Q392" s="19" t="s">
        <v>183</v>
      </c>
      <c r="R392" s="19">
        <v>37</v>
      </c>
      <c r="S392" s="9" t="s">
        <v>184</v>
      </c>
    </row>
    <row r="393" spans="1:19" ht="15" customHeight="1">
      <c r="A393" s="19">
        <v>36</v>
      </c>
      <c r="B393" s="19">
        <v>7</v>
      </c>
      <c r="E393" s="19" t="s">
        <v>192</v>
      </c>
      <c r="F393" s="19" t="s">
        <v>230</v>
      </c>
      <c r="G393" s="19" t="s">
        <v>178</v>
      </c>
      <c r="H393" s="19" t="s">
        <v>203</v>
      </c>
      <c r="M393" s="19">
        <v>70</v>
      </c>
      <c r="N393" s="19" t="s">
        <v>240</v>
      </c>
      <c r="P393" s="19">
        <v>24</v>
      </c>
      <c r="Q393" s="19" t="s">
        <v>183</v>
      </c>
      <c r="R393" s="19">
        <v>37</v>
      </c>
      <c r="S393" s="9" t="s">
        <v>184</v>
      </c>
    </row>
    <row r="394" spans="1:19" ht="15" customHeight="1">
      <c r="A394" s="19">
        <v>36</v>
      </c>
      <c r="B394" s="19">
        <v>8</v>
      </c>
      <c r="E394" s="19" t="s">
        <v>192</v>
      </c>
      <c r="F394" s="19" t="s">
        <v>230</v>
      </c>
      <c r="G394" s="19" t="s">
        <v>178</v>
      </c>
      <c r="H394" s="19" t="s">
        <v>203</v>
      </c>
      <c r="M394" s="19">
        <v>10</v>
      </c>
      <c r="N394" s="19" t="s">
        <v>240</v>
      </c>
      <c r="P394" s="19">
        <v>24</v>
      </c>
      <c r="Q394" s="19" t="s">
        <v>183</v>
      </c>
      <c r="R394" s="19">
        <v>37</v>
      </c>
      <c r="S394" s="9" t="s">
        <v>184</v>
      </c>
    </row>
    <row r="395" spans="1:19" ht="15" customHeight="1">
      <c r="A395" s="19">
        <v>36</v>
      </c>
      <c r="B395" s="19">
        <v>9</v>
      </c>
      <c r="E395" s="19" t="s">
        <v>192</v>
      </c>
      <c r="F395" s="19" t="s">
        <v>230</v>
      </c>
      <c r="G395" s="19" t="s">
        <v>178</v>
      </c>
      <c r="H395" s="19" t="s">
        <v>203</v>
      </c>
      <c r="M395" s="19">
        <v>20</v>
      </c>
      <c r="N395" s="19" t="s">
        <v>240</v>
      </c>
      <c r="P395" s="19">
        <v>24</v>
      </c>
      <c r="Q395" s="19" t="s">
        <v>183</v>
      </c>
      <c r="R395" s="19">
        <v>37</v>
      </c>
      <c r="S395" s="9" t="s">
        <v>184</v>
      </c>
    </row>
    <row r="396" spans="1:19" ht="15" customHeight="1">
      <c r="A396" s="19">
        <v>36</v>
      </c>
      <c r="B396" s="19">
        <v>10</v>
      </c>
      <c r="E396" s="19" t="s">
        <v>192</v>
      </c>
      <c r="F396" s="19" t="s">
        <v>230</v>
      </c>
      <c r="G396" s="19" t="s">
        <v>178</v>
      </c>
      <c r="H396" s="19" t="s">
        <v>203</v>
      </c>
      <c r="M396" s="19">
        <v>30</v>
      </c>
      <c r="N396" s="19" t="s">
        <v>240</v>
      </c>
      <c r="P396" s="19">
        <v>24</v>
      </c>
      <c r="Q396" s="19" t="s">
        <v>183</v>
      </c>
      <c r="R396" s="19">
        <v>37</v>
      </c>
      <c r="S396" s="9" t="s">
        <v>184</v>
      </c>
    </row>
    <row r="397" spans="1:19" ht="15" customHeight="1">
      <c r="A397" s="19">
        <v>36</v>
      </c>
      <c r="B397" s="19">
        <v>11</v>
      </c>
      <c r="E397" s="19" t="s">
        <v>192</v>
      </c>
      <c r="F397" s="19" t="s">
        <v>230</v>
      </c>
      <c r="G397" s="19" t="s">
        <v>178</v>
      </c>
      <c r="H397" s="19" t="s">
        <v>203</v>
      </c>
      <c r="M397" s="19">
        <v>40</v>
      </c>
      <c r="N397" s="19" t="s">
        <v>240</v>
      </c>
      <c r="P397" s="19">
        <v>24</v>
      </c>
      <c r="Q397" s="19" t="s">
        <v>183</v>
      </c>
      <c r="R397" s="19">
        <v>37</v>
      </c>
      <c r="S397" s="9" t="s">
        <v>184</v>
      </c>
    </row>
    <row r="398" spans="1:19" ht="15" customHeight="1">
      <c r="A398" s="19">
        <v>36</v>
      </c>
      <c r="B398" s="19">
        <v>12</v>
      </c>
      <c r="E398" s="19" t="s">
        <v>192</v>
      </c>
      <c r="F398" s="19" t="s">
        <v>230</v>
      </c>
      <c r="G398" s="19" t="s">
        <v>178</v>
      </c>
      <c r="H398" s="19" t="s">
        <v>203</v>
      </c>
      <c r="M398" s="19">
        <v>50</v>
      </c>
      <c r="N398" s="19" t="s">
        <v>240</v>
      </c>
      <c r="P398" s="19">
        <v>24</v>
      </c>
      <c r="Q398" s="19" t="s">
        <v>183</v>
      </c>
      <c r="R398" s="19">
        <v>37</v>
      </c>
      <c r="S398" s="9" t="s">
        <v>184</v>
      </c>
    </row>
    <row r="399" spans="1:19" ht="15" customHeight="1">
      <c r="A399" s="19">
        <v>36</v>
      </c>
      <c r="B399" s="19">
        <v>13</v>
      </c>
      <c r="E399" s="19" t="s">
        <v>192</v>
      </c>
      <c r="F399" s="19" t="s">
        <v>230</v>
      </c>
      <c r="G399" s="19" t="s">
        <v>178</v>
      </c>
      <c r="H399" s="19" t="s">
        <v>203</v>
      </c>
      <c r="M399" s="19">
        <v>60</v>
      </c>
      <c r="N399" s="19" t="s">
        <v>240</v>
      </c>
      <c r="P399" s="19">
        <v>24</v>
      </c>
      <c r="Q399" s="19" t="s">
        <v>183</v>
      </c>
      <c r="R399" s="19">
        <v>37</v>
      </c>
      <c r="S399" s="9" t="s">
        <v>184</v>
      </c>
    </row>
    <row r="400" spans="1:19" ht="15" customHeight="1">
      <c r="A400" s="19">
        <v>36</v>
      </c>
      <c r="B400" s="19">
        <v>14</v>
      </c>
      <c r="E400" s="19" t="s">
        <v>192</v>
      </c>
      <c r="F400" s="19" t="s">
        <v>230</v>
      </c>
      <c r="G400" s="19" t="s">
        <v>178</v>
      </c>
      <c r="H400" s="19" t="s">
        <v>203</v>
      </c>
      <c r="M400" s="19">
        <v>70</v>
      </c>
      <c r="N400" s="19" t="s">
        <v>240</v>
      </c>
      <c r="P400" s="19">
        <v>24</v>
      </c>
      <c r="Q400" s="19" t="s">
        <v>183</v>
      </c>
      <c r="R400" s="19">
        <v>37</v>
      </c>
      <c r="S400" s="9" t="s">
        <v>184</v>
      </c>
    </row>
    <row r="401" spans="1:19" ht="15" customHeight="1">
      <c r="A401" s="19">
        <v>36</v>
      </c>
      <c r="B401" s="19">
        <v>15</v>
      </c>
      <c r="E401" s="19" t="s">
        <v>192</v>
      </c>
      <c r="F401" s="19" t="s">
        <v>230</v>
      </c>
      <c r="G401" s="19" t="s">
        <v>178</v>
      </c>
      <c r="H401" s="19" t="s">
        <v>203</v>
      </c>
      <c r="M401" s="19">
        <v>10</v>
      </c>
      <c r="N401" s="19" t="s">
        <v>240</v>
      </c>
      <c r="P401" s="19">
        <v>24</v>
      </c>
      <c r="Q401" s="19" t="s">
        <v>183</v>
      </c>
      <c r="R401" s="19">
        <v>37</v>
      </c>
      <c r="S401" s="9" t="s">
        <v>184</v>
      </c>
    </row>
    <row r="402" spans="1:19" ht="15" customHeight="1">
      <c r="A402" s="19">
        <v>36</v>
      </c>
      <c r="B402" s="19">
        <v>16</v>
      </c>
      <c r="E402" s="19" t="s">
        <v>192</v>
      </c>
      <c r="F402" s="19" t="s">
        <v>230</v>
      </c>
      <c r="G402" s="19" t="s">
        <v>178</v>
      </c>
      <c r="H402" s="19" t="s">
        <v>203</v>
      </c>
      <c r="M402" s="19">
        <v>20</v>
      </c>
      <c r="N402" s="19" t="s">
        <v>240</v>
      </c>
      <c r="P402" s="19">
        <v>24</v>
      </c>
      <c r="Q402" s="19" t="s">
        <v>183</v>
      </c>
      <c r="R402" s="19">
        <v>37</v>
      </c>
      <c r="S402" s="9" t="s">
        <v>184</v>
      </c>
    </row>
    <row r="403" spans="1:19" ht="15" customHeight="1">
      <c r="A403" s="19">
        <v>36</v>
      </c>
      <c r="B403" s="19">
        <v>17</v>
      </c>
      <c r="E403" s="19" t="s">
        <v>192</v>
      </c>
      <c r="F403" s="19" t="s">
        <v>230</v>
      </c>
      <c r="G403" s="19" t="s">
        <v>178</v>
      </c>
      <c r="H403" s="19" t="s">
        <v>203</v>
      </c>
      <c r="M403" s="19">
        <v>30</v>
      </c>
      <c r="N403" s="19" t="s">
        <v>240</v>
      </c>
      <c r="P403" s="19">
        <v>24</v>
      </c>
      <c r="Q403" s="19" t="s">
        <v>183</v>
      </c>
      <c r="R403" s="19">
        <v>37</v>
      </c>
      <c r="S403" s="9" t="s">
        <v>184</v>
      </c>
    </row>
    <row r="404" spans="1:19" ht="15" customHeight="1">
      <c r="A404" s="19">
        <v>36</v>
      </c>
      <c r="B404" s="19">
        <v>18</v>
      </c>
      <c r="E404" s="19" t="s">
        <v>192</v>
      </c>
      <c r="F404" s="19" t="s">
        <v>230</v>
      </c>
      <c r="G404" s="19" t="s">
        <v>178</v>
      </c>
      <c r="H404" s="19" t="s">
        <v>203</v>
      </c>
      <c r="M404" s="19">
        <v>40</v>
      </c>
      <c r="N404" s="19" t="s">
        <v>240</v>
      </c>
      <c r="P404" s="19">
        <v>24</v>
      </c>
      <c r="Q404" s="19" t="s">
        <v>183</v>
      </c>
      <c r="R404" s="19">
        <v>37</v>
      </c>
      <c r="S404" s="9" t="s">
        <v>184</v>
      </c>
    </row>
    <row r="405" spans="1:19" ht="15" customHeight="1">
      <c r="A405" s="19">
        <v>36</v>
      </c>
      <c r="B405" s="19">
        <v>19</v>
      </c>
      <c r="E405" s="19" t="s">
        <v>192</v>
      </c>
      <c r="F405" s="19" t="s">
        <v>230</v>
      </c>
      <c r="G405" s="19" t="s">
        <v>178</v>
      </c>
      <c r="H405" s="19" t="s">
        <v>203</v>
      </c>
      <c r="M405" s="19">
        <v>50</v>
      </c>
      <c r="N405" s="19" t="s">
        <v>240</v>
      </c>
      <c r="P405" s="19">
        <v>24</v>
      </c>
      <c r="Q405" s="19" t="s">
        <v>183</v>
      </c>
      <c r="R405" s="19">
        <v>37</v>
      </c>
      <c r="S405" s="9" t="s">
        <v>184</v>
      </c>
    </row>
    <row r="406" spans="1:19" ht="15" customHeight="1">
      <c r="A406" s="19">
        <v>36</v>
      </c>
      <c r="B406" s="19">
        <v>20</v>
      </c>
      <c r="E406" s="19" t="s">
        <v>192</v>
      </c>
      <c r="F406" s="19" t="s">
        <v>230</v>
      </c>
      <c r="G406" s="19" t="s">
        <v>178</v>
      </c>
      <c r="H406" s="19" t="s">
        <v>203</v>
      </c>
      <c r="M406" s="19">
        <v>60</v>
      </c>
      <c r="N406" s="19" t="s">
        <v>240</v>
      </c>
      <c r="P406" s="19">
        <v>24</v>
      </c>
      <c r="Q406" s="19" t="s">
        <v>183</v>
      </c>
      <c r="R406" s="19">
        <v>37</v>
      </c>
      <c r="S406" s="9" t="s">
        <v>184</v>
      </c>
    </row>
    <row r="407" spans="1:19" ht="15" customHeight="1">
      <c r="A407" s="19">
        <v>36</v>
      </c>
      <c r="B407" s="19">
        <v>21</v>
      </c>
      <c r="E407" s="19" t="s">
        <v>192</v>
      </c>
      <c r="F407" s="19" t="s">
        <v>230</v>
      </c>
      <c r="G407" s="19" t="s">
        <v>178</v>
      </c>
      <c r="H407" s="19" t="s">
        <v>203</v>
      </c>
      <c r="M407" s="19">
        <v>70</v>
      </c>
      <c r="N407" s="19" t="s">
        <v>240</v>
      </c>
      <c r="P407" s="19">
        <v>24</v>
      </c>
      <c r="Q407" s="19" t="s">
        <v>183</v>
      </c>
      <c r="R407" s="19">
        <v>37</v>
      </c>
      <c r="S407" s="9" t="s">
        <v>184</v>
      </c>
    </row>
    <row r="408" spans="1:19" s="18" customFormat="1" ht="15" customHeight="1">
      <c r="A408" s="41">
        <v>37</v>
      </c>
      <c r="B408" s="41">
        <v>1</v>
      </c>
      <c r="E408" s="18" t="s">
        <v>192</v>
      </c>
      <c r="F408" s="18" t="s">
        <v>270</v>
      </c>
      <c r="G408" s="18" t="s">
        <v>178</v>
      </c>
      <c r="H408" s="18" t="s">
        <v>203</v>
      </c>
      <c r="I408" s="18">
        <v>2000</v>
      </c>
      <c r="J408" s="18" t="s">
        <v>180</v>
      </c>
      <c r="K408" s="41"/>
      <c r="M408" s="18">
        <v>50</v>
      </c>
      <c r="N408" s="18" t="s">
        <v>205</v>
      </c>
      <c r="O408" s="80"/>
      <c r="P408" s="18">
        <v>24</v>
      </c>
      <c r="Q408" s="18" t="s">
        <v>183</v>
      </c>
      <c r="R408" s="18">
        <v>37</v>
      </c>
      <c r="S408" s="13" t="s">
        <v>184</v>
      </c>
    </row>
    <row r="409" spans="1:19" ht="15" customHeight="1">
      <c r="A409" s="27">
        <v>37</v>
      </c>
      <c r="B409" s="27">
        <v>2</v>
      </c>
      <c r="E409" s="19" t="s">
        <v>192</v>
      </c>
      <c r="F409" s="19" t="s">
        <v>270</v>
      </c>
      <c r="G409" s="19" t="s">
        <v>178</v>
      </c>
      <c r="H409" s="19" t="s">
        <v>203</v>
      </c>
      <c r="I409" s="19">
        <v>2000</v>
      </c>
      <c r="J409" s="19" t="s">
        <v>180</v>
      </c>
      <c r="M409" s="19">
        <v>100</v>
      </c>
      <c r="N409" s="19" t="s">
        <v>205</v>
      </c>
      <c r="P409" s="19">
        <v>24</v>
      </c>
      <c r="Q409" s="19" t="s">
        <v>183</v>
      </c>
      <c r="R409" s="19">
        <v>37</v>
      </c>
      <c r="S409" s="9" t="s">
        <v>184</v>
      </c>
    </row>
    <row r="410" spans="1:19" ht="15" customHeight="1">
      <c r="A410" s="27">
        <v>37</v>
      </c>
      <c r="B410" s="27">
        <v>3</v>
      </c>
      <c r="E410" s="19" t="s">
        <v>192</v>
      </c>
      <c r="F410" s="19" t="s">
        <v>270</v>
      </c>
      <c r="G410" s="19" t="s">
        <v>178</v>
      </c>
      <c r="H410" s="19" t="s">
        <v>203</v>
      </c>
      <c r="I410" s="19">
        <v>2000</v>
      </c>
      <c r="J410" s="19" t="s">
        <v>180</v>
      </c>
      <c r="M410" s="19">
        <v>200</v>
      </c>
      <c r="N410" s="19" t="s">
        <v>205</v>
      </c>
      <c r="P410" s="19">
        <v>24</v>
      </c>
      <c r="Q410" s="19" t="s">
        <v>183</v>
      </c>
      <c r="R410" s="19">
        <v>37</v>
      </c>
      <c r="S410" s="9" t="s">
        <v>184</v>
      </c>
    </row>
    <row r="411" spans="1:19" ht="15" customHeight="1">
      <c r="A411" s="27">
        <v>37</v>
      </c>
      <c r="B411" s="27">
        <v>4</v>
      </c>
      <c r="E411" s="19" t="s">
        <v>192</v>
      </c>
      <c r="F411" s="19" t="s">
        <v>270</v>
      </c>
      <c r="G411" s="19" t="s">
        <v>178</v>
      </c>
      <c r="H411" s="19" t="s">
        <v>203</v>
      </c>
      <c r="I411" s="19">
        <v>2000</v>
      </c>
      <c r="J411" s="19" t="s">
        <v>180</v>
      </c>
      <c r="M411" s="19">
        <v>400</v>
      </c>
      <c r="N411" s="19" t="s">
        <v>205</v>
      </c>
      <c r="P411" s="19">
        <v>24</v>
      </c>
      <c r="Q411" s="19" t="s">
        <v>183</v>
      </c>
      <c r="R411" s="19">
        <v>37</v>
      </c>
      <c r="S411" s="9" t="s">
        <v>184</v>
      </c>
    </row>
    <row r="412" spans="1:19" s="18" customFormat="1" ht="15" customHeight="1">
      <c r="A412" s="41">
        <v>38</v>
      </c>
      <c r="B412" s="41">
        <v>1</v>
      </c>
      <c r="D412" s="18" t="s">
        <v>280</v>
      </c>
      <c r="E412" s="18" t="s">
        <v>192</v>
      </c>
      <c r="F412" s="18" t="s">
        <v>281</v>
      </c>
      <c r="G412" s="18" t="s">
        <v>212</v>
      </c>
      <c r="H412" s="18" t="s">
        <v>179</v>
      </c>
      <c r="K412" s="41"/>
      <c r="O412" s="80"/>
    </row>
    <row r="413" spans="1:19" ht="15" customHeight="1">
      <c r="A413" s="27">
        <v>38</v>
      </c>
      <c r="B413" s="27">
        <v>2</v>
      </c>
      <c r="D413" s="19" t="s">
        <v>280</v>
      </c>
      <c r="E413" s="19" t="s">
        <v>192</v>
      </c>
      <c r="F413" s="19" t="s">
        <v>281</v>
      </c>
      <c r="G413" s="19" t="s">
        <v>212</v>
      </c>
      <c r="H413" s="19" t="s">
        <v>179</v>
      </c>
    </row>
    <row r="414" spans="1:19" ht="15" customHeight="1">
      <c r="A414" s="27">
        <v>38</v>
      </c>
      <c r="B414" s="27">
        <v>3</v>
      </c>
      <c r="D414" s="19" t="s">
        <v>280</v>
      </c>
      <c r="E414" s="19" t="s">
        <v>192</v>
      </c>
      <c r="F414" s="19" t="s">
        <v>281</v>
      </c>
      <c r="G414" s="19" t="s">
        <v>212</v>
      </c>
      <c r="H414" s="19" t="s">
        <v>179</v>
      </c>
    </row>
    <row r="415" spans="1:19" ht="15" customHeight="1">
      <c r="A415" s="27">
        <v>38</v>
      </c>
      <c r="B415" s="27">
        <v>4</v>
      </c>
      <c r="D415" s="19" t="s">
        <v>280</v>
      </c>
      <c r="E415" s="19" t="s">
        <v>192</v>
      </c>
      <c r="F415" s="19" t="s">
        <v>281</v>
      </c>
      <c r="G415" s="19" t="s">
        <v>212</v>
      </c>
      <c r="H415" s="19" t="s">
        <v>203</v>
      </c>
    </row>
    <row r="416" spans="1:19" ht="15" customHeight="1">
      <c r="A416" s="27">
        <v>38</v>
      </c>
      <c r="B416" s="27">
        <v>5</v>
      </c>
      <c r="D416" s="19" t="s">
        <v>280</v>
      </c>
      <c r="E416" s="19" t="s">
        <v>192</v>
      </c>
      <c r="F416" s="19" t="s">
        <v>281</v>
      </c>
      <c r="G416" s="19" t="s">
        <v>212</v>
      </c>
      <c r="H416" s="19" t="s">
        <v>203</v>
      </c>
    </row>
    <row r="417" spans="1:20" ht="15" customHeight="1">
      <c r="A417" s="27">
        <v>38</v>
      </c>
      <c r="B417" s="27">
        <v>6</v>
      </c>
      <c r="D417" s="19" t="s">
        <v>280</v>
      </c>
      <c r="E417" s="19" t="s">
        <v>192</v>
      </c>
      <c r="F417" s="19" t="s">
        <v>281</v>
      </c>
      <c r="G417" s="19" t="s">
        <v>212</v>
      </c>
      <c r="H417" s="19" t="s">
        <v>203</v>
      </c>
    </row>
    <row r="418" spans="1:20" s="18" customFormat="1" ht="15" customHeight="1">
      <c r="A418" s="41">
        <v>39</v>
      </c>
      <c r="B418" s="41">
        <v>1</v>
      </c>
      <c r="E418" s="18" t="s">
        <v>192</v>
      </c>
      <c r="F418" s="18" t="s">
        <v>282</v>
      </c>
      <c r="G418" s="18" t="s">
        <v>283</v>
      </c>
      <c r="I418" s="18">
        <v>10000</v>
      </c>
      <c r="J418" s="18" t="s">
        <v>180</v>
      </c>
      <c r="K418" s="41"/>
      <c r="M418" s="18" t="s">
        <v>284</v>
      </c>
      <c r="N418" s="18" t="s">
        <v>205</v>
      </c>
      <c r="O418" s="80"/>
      <c r="P418" s="18">
        <v>48</v>
      </c>
      <c r="Q418" s="18" t="s">
        <v>183</v>
      </c>
      <c r="R418" s="18">
        <v>37</v>
      </c>
      <c r="T418" s="18">
        <v>5</v>
      </c>
    </row>
    <row r="419" spans="1:20" ht="15" customHeight="1">
      <c r="A419" s="27">
        <v>39</v>
      </c>
      <c r="B419" s="27">
        <v>2</v>
      </c>
      <c r="E419" s="19" t="s">
        <v>192</v>
      </c>
      <c r="F419" s="19" t="s">
        <v>282</v>
      </c>
      <c r="G419" s="19" t="s">
        <v>283</v>
      </c>
      <c r="I419" s="19">
        <v>10000</v>
      </c>
      <c r="J419" s="19" t="s">
        <v>180</v>
      </c>
      <c r="M419" s="19">
        <v>1</v>
      </c>
      <c r="N419" s="19" t="s">
        <v>205</v>
      </c>
      <c r="P419" s="19">
        <v>48</v>
      </c>
      <c r="Q419" s="19" t="s">
        <v>183</v>
      </c>
      <c r="R419" s="19">
        <v>37</v>
      </c>
      <c r="T419" s="19">
        <v>5</v>
      </c>
    </row>
    <row r="420" spans="1:20" ht="15" customHeight="1">
      <c r="A420" s="27">
        <v>39</v>
      </c>
      <c r="B420" s="27">
        <v>3</v>
      </c>
      <c r="E420" s="19" t="s">
        <v>192</v>
      </c>
      <c r="F420" s="19" t="s">
        <v>282</v>
      </c>
      <c r="G420" s="19" t="s">
        <v>283</v>
      </c>
      <c r="I420" s="19">
        <v>10000</v>
      </c>
      <c r="J420" s="19" t="s">
        <v>180</v>
      </c>
      <c r="M420" s="19">
        <v>10</v>
      </c>
      <c r="N420" s="19" t="s">
        <v>205</v>
      </c>
      <c r="P420" s="19">
        <v>48</v>
      </c>
      <c r="Q420" s="19" t="s">
        <v>183</v>
      </c>
      <c r="R420" s="19">
        <v>37</v>
      </c>
      <c r="T420" s="19">
        <v>5</v>
      </c>
    </row>
    <row r="421" spans="1:20" ht="15" customHeight="1">
      <c r="A421" s="27">
        <v>39</v>
      </c>
      <c r="B421" s="27">
        <v>4</v>
      </c>
      <c r="E421" s="19" t="s">
        <v>192</v>
      </c>
      <c r="F421" s="19" t="s">
        <v>282</v>
      </c>
      <c r="G421" s="19" t="s">
        <v>283</v>
      </c>
      <c r="I421" s="19">
        <v>10000</v>
      </c>
      <c r="J421" s="19" t="s">
        <v>180</v>
      </c>
      <c r="M421" s="19">
        <v>100</v>
      </c>
      <c r="N421" s="19" t="s">
        <v>205</v>
      </c>
      <c r="P421" s="19">
        <v>48</v>
      </c>
      <c r="Q421" s="19" t="s">
        <v>183</v>
      </c>
      <c r="R421" s="19">
        <v>37</v>
      </c>
      <c r="T421" s="19">
        <v>5</v>
      </c>
    </row>
    <row r="422" spans="1:20" ht="15" customHeight="1">
      <c r="A422" s="27">
        <v>39</v>
      </c>
      <c r="B422" s="27">
        <v>5</v>
      </c>
      <c r="E422" s="19" t="s">
        <v>192</v>
      </c>
      <c r="F422" s="62" t="s">
        <v>282</v>
      </c>
      <c r="G422" s="19" t="s">
        <v>283</v>
      </c>
      <c r="I422" s="19">
        <v>10000</v>
      </c>
      <c r="J422" s="19" t="s">
        <v>180</v>
      </c>
      <c r="M422" s="19">
        <v>1000</v>
      </c>
      <c r="N422" s="19" t="s">
        <v>205</v>
      </c>
      <c r="P422" s="19">
        <v>48</v>
      </c>
      <c r="Q422" s="19" t="s">
        <v>183</v>
      </c>
      <c r="R422" s="19">
        <v>37</v>
      </c>
      <c r="T422" s="19">
        <v>5</v>
      </c>
    </row>
    <row r="423" spans="1:20" s="18" customFormat="1">
      <c r="A423" s="41">
        <v>40</v>
      </c>
      <c r="B423" s="41">
        <v>1</v>
      </c>
      <c r="E423" s="18" t="s">
        <v>192</v>
      </c>
      <c r="F423" s="19" t="s">
        <v>285</v>
      </c>
      <c r="G423" s="18" t="s">
        <v>283</v>
      </c>
      <c r="I423" s="18">
        <v>180000</v>
      </c>
      <c r="J423" s="18" t="s">
        <v>180</v>
      </c>
      <c r="K423" s="41"/>
      <c r="M423" s="18">
        <v>2.5</v>
      </c>
      <c r="N423" s="18" t="s">
        <v>205</v>
      </c>
      <c r="O423" s="80"/>
      <c r="P423" s="18">
        <v>72</v>
      </c>
      <c r="Q423" s="74" t="s">
        <v>183</v>
      </c>
      <c r="R423" s="18">
        <v>37</v>
      </c>
    </row>
    <row r="424" spans="1:20" ht="15" customHeight="1">
      <c r="A424" s="27">
        <v>40</v>
      </c>
      <c r="B424" s="27">
        <v>2</v>
      </c>
      <c r="E424" s="19" t="s">
        <v>192</v>
      </c>
      <c r="F424" s="19" t="s">
        <v>285</v>
      </c>
      <c r="G424" s="19" t="s">
        <v>283</v>
      </c>
      <c r="I424" s="19">
        <v>180000</v>
      </c>
      <c r="J424" s="19" t="s">
        <v>180</v>
      </c>
      <c r="M424" s="19">
        <v>5</v>
      </c>
      <c r="N424" s="19" t="s">
        <v>205</v>
      </c>
      <c r="P424" s="19">
        <v>72</v>
      </c>
      <c r="Q424" s="19" t="s">
        <v>183</v>
      </c>
      <c r="R424" s="19">
        <v>37</v>
      </c>
    </row>
    <row r="425" spans="1:20" ht="15" customHeight="1">
      <c r="A425" s="27">
        <v>40</v>
      </c>
      <c r="B425" s="27">
        <v>3</v>
      </c>
      <c r="E425" s="19" t="s">
        <v>192</v>
      </c>
      <c r="F425" s="19" t="s">
        <v>285</v>
      </c>
      <c r="G425" s="19" t="s">
        <v>283</v>
      </c>
      <c r="I425" s="19">
        <v>180000</v>
      </c>
      <c r="J425" s="19" t="s">
        <v>180</v>
      </c>
      <c r="M425" s="19">
        <v>12.5</v>
      </c>
      <c r="N425" s="19" t="s">
        <v>205</v>
      </c>
      <c r="P425" s="19">
        <v>72</v>
      </c>
      <c r="Q425" s="19" t="s">
        <v>183</v>
      </c>
      <c r="R425" s="19">
        <v>37</v>
      </c>
    </row>
    <row r="426" spans="1:20" ht="15" customHeight="1">
      <c r="A426" s="27">
        <v>40</v>
      </c>
      <c r="B426" s="27">
        <v>4</v>
      </c>
      <c r="E426" s="19" t="s">
        <v>192</v>
      </c>
      <c r="F426" s="19" t="s">
        <v>285</v>
      </c>
      <c r="G426" s="19" t="s">
        <v>283</v>
      </c>
      <c r="I426" s="19">
        <v>180000</v>
      </c>
      <c r="J426" s="19" t="s">
        <v>180</v>
      </c>
      <c r="M426" s="19">
        <v>25</v>
      </c>
      <c r="N426" s="19" t="s">
        <v>205</v>
      </c>
      <c r="P426" s="19">
        <v>72</v>
      </c>
      <c r="Q426" s="19" t="s">
        <v>183</v>
      </c>
      <c r="R426" s="19">
        <v>37</v>
      </c>
    </row>
    <row r="427" spans="1:20" ht="15" customHeight="1">
      <c r="A427" s="27">
        <v>40</v>
      </c>
      <c r="B427" s="27">
        <v>5</v>
      </c>
      <c r="E427" s="19" t="s">
        <v>192</v>
      </c>
      <c r="F427" s="19" t="s">
        <v>285</v>
      </c>
      <c r="G427" s="19" t="s">
        <v>283</v>
      </c>
      <c r="I427" s="19">
        <v>180000</v>
      </c>
      <c r="J427" s="19" t="s">
        <v>180</v>
      </c>
      <c r="M427" s="19">
        <v>2.5</v>
      </c>
      <c r="N427" s="19" t="s">
        <v>205</v>
      </c>
      <c r="P427" s="19">
        <v>72</v>
      </c>
      <c r="Q427" s="19" t="s">
        <v>183</v>
      </c>
      <c r="R427" s="19">
        <v>37</v>
      </c>
    </row>
    <row r="428" spans="1:20" ht="15" customHeight="1">
      <c r="A428" s="27">
        <v>40</v>
      </c>
      <c r="B428" s="27">
        <v>6</v>
      </c>
      <c r="E428" s="19" t="s">
        <v>192</v>
      </c>
      <c r="F428" s="19" t="s">
        <v>285</v>
      </c>
      <c r="G428" s="19" t="s">
        <v>283</v>
      </c>
      <c r="I428" s="19">
        <v>180000</v>
      </c>
      <c r="J428" s="19" t="s">
        <v>180</v>
      </c>
      <c r="M428" s="19">
        <v>5</v>
      </c>
      <c r="N428" s="19" t="s">
        <v>205</v>
      </c>
      <c r="P428" s="19">
        <v>72</v>
      </c>
      <c r="Q428" s="19" t="s">
        <v>183</v>
      </c>
      <c r="R428" s="19">
        <v>37</v>
      </c>
    </row>
    <row r="429" spans="1:20" ht="15" customHeight="1">
      <c r="A429" s="27">
        <v>40</v>
      </c>
      <c r="B429" s="27">
        <v>7</v>
      </c>
      <c r="E429" s="19" t="s">
        <v>192</v>
      </c>
      <c r="F429" s="19" t="s">
        <v>285</v>
      </c>
      <c r="G429" s="19" t="s">
        <v>283</v>
      </c>
      <c r="I429" s="19">
        <v>180000</v>
      </c>
      <c r="J429" s="19" t="s">
        <v>180</v>
      </c>
      <c r="M429" s="19">
        <v>12.5</v>
      </c>
      <c r="N429" s="19" t="s">
        <v>205</v>
      </c>
      <c r="P429" s="19">
        <v>72</v>
      </c>
      <c r="Q429" s="19" t="s">
        <v>183</v>
      </c>
      <c r="R429" s="19">
        <v>37</v>
      </c>
    </row>
    <row r="430" spans="1:20" ht="15" customHeight="1">
      <c r="A430" s="27">
        <v>40</v>
      </c>
      <c r="B430" s="27">
        <v>8</v>
      </c>
      <c r="E430" s="19" t="s">
        <v>192</v>
      </c>
      <c r="F430" s="19" t="s">
        <v>285</v>
      </c>
      <c r="G430" s="19" t="s">
        <v>283</v>
      </c>
      <c r="I430" s="19">
        <v>180000</v>
      </c>
      <c r="J430" s="19" t="s">
        <v>180</v>
      </c>
      <c r="M430" s="19">
        <v>25</v>
      </c>
      <c r="N430" s="19" t="s">
        <v>205</v>
      </c>
      <c r="P430" s="19">
        <v>72</v>
      </c>
      <c r="Q430" s="19" t="s">
        <v>183</v>
      </c>
      <c r="R430" s="19">
        <v>37</v>
      </c>
    </row>
    <row r="431" spans="1:20" ht="15" customHeight="1">
      <c r="A431" s="27">
        <v>40</v>
      </c>
      <c r="B431" s="27">
        <v>9</v>
      </c>
      <c r="E431" s="19" t="s">
        <v>192</v>
      </c>
      <c r="F431" s="19" t="s">
        <v>285</v>
      </c>
      <c r="G431" s="19" t="s">
        <v>283</v>
      </c>
      <c r="I431" s="19">
        <v>180000</v>
      </c>
      <c r="J431" s="19" t="s">
        <v>180</v>
      </c>
      <c r="M431" s="19">
        <v>2.5</v>
      </c>
      <c r="N431" s="19" t="s">
        <v>205</v>
      </c>
      <c r="P431" s="19">
        <v>72</v>
      </c>
      <c r="Q431" s="19" t="s">
        <v>183</v>
      </c>
      <c r="R431" s="19">
        <v>37</v>
      </c>
    </row>
    <row r="432" spans="1:20" ht="15" customHeight="1">
      <c r="A432" s="27">
        <v>40</v>
      </c>
      <c r="B432" s="27">
        <v>10</v>
      </c>
      <c r="E432" s="19" t="s">
        <v>192</v>
      </c>
      <c r="F432" s="19" t="s">
        <v>285</v>
      </c>
      <c r="G432" s="19" t="s">
        <v>283</v>
      </c>
      <c r="I432" s="19">
        <v>180000</v>
      </c>
      <c r="J432" s="19" t="s">
        <v>180</v>
      </c>
      <c r="M432" s="19">
        <v>5</v>
      </c>
      <c r="N432" s="19" t="s">
        <v>205</v>
      </c>
      <c r="P432" s="19">
        <v>72</v>
      </c>
      <c r="Q432" s="19" t="s">
        <v>183</v>
      </c>
      <c r="R432" s="19">
        <v>37</v>
      </c>
    </row>
    <row r="433" spans="1:20" ht="15" customHeight="1">
      <c r="A433" s="27">
        <v>40</v>
      </c>
      <c r="B433" s="27">
        <v>11</v>
      </c>
      <c r="E433" s="19" t="s">
        <v>192</v>
      </c>
      <c r="F433" s="19" t="s">
        <v>285</v>
      </c>
      <c r="G433" s="19" t="s">
        <v>283</v>
      </c>
      <c r="I433" s="19">
        <v>180000</v>
      </c>
      <c r="J433" s="19" t="s">
        <v>180</v>
      </c>
      <c r="M433" s="19">
        <v>12.5</v>
      </c>
      <c r="N433" s="19" t="s">
        <v>205</v>
      </c>
      <c r="P433" s="19">
        <v>72</v>
      </c>
      <c r="Q433" s="19" t="s">
        <v>183</v>
      </c>
      <c r="R433" s="19">
        <v>37</v>
      </c>
    </row>
    <row r="434" spans="1:20" ht="15" customHeight="1">
      <c r="A434" s="27">
        <v>40</v>
      </c>
      <c r="B434" s="27">
        <v>12</v>
      </c>
      <c r="E434" s="19" t="s">
        <v>192</v>
      </c>
      <c r="F434" s="19" t="s">
        <v>285</v>
      </c>
      <c r="G434" s="19" t="s">
        <v>283</v>
      </c>
      <c r="I434" s="19">
        <v>180000</v>
      </c>
      <c r="J434" s="19" t="s">
        <v>180</v>
      </c>
      <c r="M434" s="19">
        <v>25</v>
      </c>
      <c r="N434" s="19" t="s">
        <v>205</v>
      </c>
      <c r="P434" s="19">
        <v>72</v>
      </c>
      <c r="Q434" s="62" t="s">
        <v>183</v>
      </c>
      <c r="R434" s="19">
        <v>37</v>
      </c>
      <c r="T434" s="62"/>
    </row>
    <row r="435" spans="1:20" s="18" customFormat="1" ht="15" customHeight="1">
      <c r="A435" s="18">
        <v>41</v>
      </c>
      <c r="B435" s="18">
        <v>1</v>
      </c>
      <c r="E435" s="18" t="s">
        <v>192</v>
      </c>
      <c r="F435" s="18" t="s">
        <v>267</v>
      </c>
      <c r="G435" s="13" t="s">
        <v>194</v>
      </c>
      <c r="H435" s="18" t="s">
        <v>203</v>
      </c>
      <c r="I435" s="18">
        <v>200000</v>
      </c>
      <c r="J435" s="18" t="s">
        <v>180</v>
      </c>
      <c r="K435" s="41" t="s">
        <v>182</v>
      </c>
      <c r="O435" s="80"/>
      <c r="P435" s="18">
        <v>18</v>
      </c>
      <c r="Q435" s="19" t="s">
        <v>183</v>
      </c>
      <c r="R435" s="18">
        <v>37</v>
      </c>
      <c r="T435" s="19">
        <v>5</v>
      </c>
    </row>
    <row r="436" spans="1:20" ht="15" customHeight="1">
      <c r="A436" s="19">
        <v>41</v>
      </c>
      <c r="B436" s="19">
        <v>2</v>
      </c>
      <c r="E436" s="19" t="s">
        <v>192</v>
      </c>
      <c r="F436" s="19" t="s">
        <v>267</v>
      </c>
      <c r="G436" s="9" t="s">
        <v>194</v>
      </c>
      <c r="H436" s="19" t="s">
        <v>203</v>
      </c>
      <c r="I436" s="19">
        <v>200000</v>
      </c>
      <c r="J436" s="19" t="s">
        <v>180</v>
      </c>
      <c r="K436" s="27" t="s">
        <v>182</v>
      </c>
      <c r="P436" s="19">
        <v>18</v>
      </c>
      <c r="Q436" s="19" t="s">
        <v>183</v>
      </c>
      <c r="R436" s="19">
        <v>37</v>
      </c>
      <c r="T436" s="19">
        <v>5</v>
      </c>
    </row>
    <row r="437" spans="1:20" ht="15" customHeight="1">
      <c r="A437" s="19">
        <v>41</v>
      </c>
      <c r="B437" s="19">
        <v>3</v>
      </c>
      <c r="E437" s="19" t="s">
        <v>192</v>
      </c>
      <c r="F437" s="19" t="s">
        <v>267</v>
      </c>
      <c r="G437" s="9" t="s">
        <v>194</v>
      </c>
      <c r="H437" s="19" t="s">
        <v>203</v>
      </c>
      <c r="I437" s="19">
        <v>200000</v>
      </c>
      <c r="J437" s="19" t="s">
        <v>180</v>
      </c>
      <c r="K437" s="27" t="s">
        <v>182</v>
      </c>
      <c r="P437" s="19">
        <v>18</v>
      </c>
      <c r="Q437" s="19" t="s">
        <v>183</v>
      </c>
      <c r="R437" s="19">
        <v>37</v>
      </c>
      <c r="T437" s="19">
        <v>5</v>
      </c>
    </row>
    <row r="438" spans="1:20" ht="15" customHeight="1">
      <c r="A438" s="19">
        <v>41</v>
      </c>
      <c r="B438" s="19">
        <v>4</v>
      </c>
      <c r="E438" s="19" t="s">
        <v>192</v>
      </c>
      <c r="F438" s="19" t="s">
        <v>267</v>
      </c>
      <c r="G438" s="9" t="s">
        <v>194</v>
      </c>
      <c r="H438" s="19" t="s">
        <v>203</v>
      </c>
      <c r="I438" s="19">
        <v>200000</v>
      </c>
      <c r="J438" s="19" t="s">
        <v>180</v>
      </c>
      <c r="K438" s="27" t="s">
        <v>182</v>
      </c>
      <c r="P438" s="19">
        <v>18</v>
      </c>
      <c r="Q438" s="19" t="s">
        <v>183</v>
      </c>
      <c r="R438" s="19">
        <v>37</v>
      </c>
      <c r="T438" s="19">
        <v>5</v>
      </c>
    </row>
    <row r="439" spans="1:20" ht="15" customHeight="1">
      <c r="A439" s="19">
        <v>41</v>
      </c>
      <c r="B439" s="19">
        <v>5</v>
      </c>
      <c r="E439" s="19" t="s">
        <v>192</v>
      </c>
      <c r="F439" s="19" t="s">
        <v>267</v>
      </c>
      <c r="G439" s="9" t="s">
        <v>194</v>
      </c>
      <c r="H439" s="19" t="s">
        <v>203</v>
      </c>
      <c r="I439" s="19">
        <v>200000</v>
      </c>
      <c r="J439" s="19" t="s">
        <v>180</v>
      </c>
      <c r="K439" s="27" t="s">
        <v>182</v>
      </c>
      <c r="P439" s="19">
        <v>18</v>
      </c>
      <c r="Q439" s="19" t="s">
        <v>183</v>
      </c>
      <c r="R439" s="19">
        <v>37</v>
      </c>
      <c r="T439" s="19">
        <v>5</v>
      </c>
    </row>
    <row r="440" spans="1:20" s="18" customFormat="1" ht="15" customHeight="1">
      <c r="A440" s="18">
        <v>42</v>
      </c>
      <c r="B440" s="18">
        <v>1</v>
      </c>
      <c r="E440" s="18" t="s">
        <v>192</v>
      </c>
      <c r="F440" s="18" t="s">
        <v>286</v>
      </c>
      <c r="G440" s="18" t="s">
        <v>178</v>
      </c>
      <c r="H440" s="18" t="s">
        <v>179</v>
      </c>
      <c r="I440" s="18">
        <v>1000000</v>
      </c>
      <c r="J440" s="18" t="s">
        <v>180</v>
      </c>
      <c r="K440" s="41" t="s">
        <v>182</v>
      </c>
      <c r="O440" s="80"/>
      <c r="P440" s="18">
        <v>24</v>
      </c>
      <c r="Q440" s="18" t="s">
        <v>183</v>
      </c>
      <c r="R440" s="18">
        <v>37</v>
      </c>
      <c r="S440" s="13" t="s">
        <v>184</v>
      </c>
    </row>
    <row r="441" spans="1:20" ht="15" customHeight="1">
      <c r="A441" s="19">
        <v>42</v>
      </c>
      <c r="B441" s="19">
        <v>2</v>
      </c>
      <c r="E441" s="19" t="s">
        <v>192</v>
      </c>
      <c r="F441" s="19" t="s">
        <v>286</v>
      </c>
      <c r="G441" s="19" t="s">
        <v>178</v>
      </c>
      <c r="H441" s="19" t="s">
        <v>179</v>
      </c>
      <c r="I441" s="62">
        <v>1000000</v>
      </c>
      <c r="J441" s="19" t="s">
        <v>180</v>
      </c>
      <c r="K441" s="27" t="s">
        <v>182</v>
      </c>
      <c r="P441" s="19">
        <v>24</v>
      </c>
      <c r="Q441" s="19" t="s">
        <v>183</v>
      </c>
      <c r="R441" s="19">
        <v>37</v>
      </c>
      <c r="S441" s="9" t="s">
        <v>184</v>
      </c>
    </row>
    <row r="442" spans="1:20" s="18" customFormat="1" ht="15" customHeight="1">
      <c r="I442" s="19"/>
      <c r="K442" s="41"/>
      <c r="O442" s="80"/>
    </row>
  </sheetData>
  <autoFilter ref="A1:AB441" xr:uid="{00000000-0001-0000-0100-000000000000}"/>
  <phoneticPr fontId="15" type="noConversion"/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591-E688-4A8B-B9C1-17678F2B2DEB}">
  <dimension ref="A1:N442"/>
  <sheetViews>
    <sheetView tabSelected="1" workbookViewId="0">
      <selection activeCell="E3" sqref="E3"/>
    </sheetView>
  </sheetViews>
  <sheetFormatPr defaultRowHeight="15"/>
  <cols>
    <col min="3" max="3" width="21.5703125" bestFit="1" customWidth="1"/>
    <col min="4" max="4" width="24" bestFit="1" customWidth="1"/>
    <col min="5" max="5" width="24" customWidth="1"/>
    <col min="6" max="6" width="6.140625" bestFit="1" customWidth="1"/>
    <col min="7" max="7" width="11.5703125" bestFit="1" customWidth="1"/>
    <col min="8" max="8" width="19.140625" bestFit="1" customWidth="1"/>
    <col min="9" max="9" width="24.85546875" bestFit="1" customWidth="1"/>
    <col min="10" max="10" width="5" bestFit="1" customWidth="1"/>
    <col min="11" max="11" width="14.7109375" bestFit="1" customWidth="1"/>
    <col min="12" max="12" width="11.5703125" bestFit="1" customWidth="1"/>
    <col min="13" max="13" width="11.28515625" bestFit="1" customWidth="1"/>
    <col min="14" max="14" width="29.28515625" bestFit="1" customWidth="1"/>
  </cols>
  <sheetData>
    <row r="1" spans="1:14">
      <c r="A1" s="5" t="s">
        <v>0</v>
      </c>
      <c r="B1" s="6" t="s">
        <v>1</v>
      </c>
      <c r="C1" s="7" t="s">
        <v>287</v>
      </c>
      <c r="D1" s="7" t="s">
        <v>288</v>
      </c>
      <c r="E1" s="7" t="s">
        <v>289</v>
      </c>
      <c r="F1" s="7" t="s">
        <v>290</v>
      </c>
      <c r="G1" s="7" t="s">
        <v>291</v>
      </c>
      <c r="H1" s="7" t="s">
        <v>292</v>
      </c>
      <c r="I1" s="7" t="s">
        <v>293</v>
      </c>
      <c r="J1" s="7" t="s">
        <v>294</v>
      </c>
      <c r="K1" s="7" t="s">
        <v>295</v>
      </c>
      <c r="L1" s="7" t="s">
        <v>296</v>
      </c>
      <c r="M1" s="7" t="s">
        <v>297</v>
      </c>
      <c r="N1" s="7" t="s">
        <v>298</v>
      </c>
    </row>
    <row r="2" spans="1:14">
      <c r="A2" s="10">
        <v>1</v>
      </c>
      <c r="B2" s="10">
        <v>1</v>
      </c>
      <c r="C2" s="9"/>
      <c r="D2" s="9">
        <v>90.995260000000002</v>
      </c>
      <c r="E2" s="9" t="str">
        <f>IF(D2="","",IF(D2&lt;70,"Toxic","Non-toxic"))</f>
        <v>Non-toxic</v>
      </c>
      <c r="F2" s="9"/>
      <c r="G2" s="9"/>
      <c r="H2" s="9"/>
      <c r="I2" s="9"/>
      <c r="J2" s="9"/>
      <c r="K2" s="9"/>
      <c r="L2" s="9"/>
      <c r="M2" s="9"/>
      <c r="N2" s="9"/>
    </row>
    <row r="3" spans="1:14">
      <c r="A3" s="10">
        <v>1</v>
      </c>
      <c r="B3" s="10">
        <v>2</v>
      </c>
      <c r="C3" s="9"/>
      <c r="D3" s="9">
        <v>87.677729999999997</v>
      </c>
      <c r="E3" s="9" t="str">
        <f>IF(D3="","",IF(D3&lt;70,"Toxic","Non-toxic"))</f>
        <v>Non-toxic</v>
      </c>
      <c r="F3" s="9"/>
      <c r="G3" s="9"/>
      <c r="H3" s="9"/>
      <c r="I3" s="9"/>
      <c r="J3" s="9"/>
      <c r="K3" s="9"/>
      <c r="L3" s="9"/>
      <c r="M3" s="9"/>
      <c r="N3" s="9"/>
    </row>
    <row r="4" spans="1:14">
      <c r="A4" s="10">
        <v>1</v>
      </c>
      <c r="B4" s="10">
        <v>3</v>
      </c>
      <c r="C4" s="9"/>
      <c r="D4" s="9">
        <v>94.786730000000006</v>
      </c>
      <c r="E4" s="9" t="str">
        <f t="shared" ref="E3:E66" si="0">IF(D4="","",IF(D4&lt;70,"Toxic","Non-toxic"))</f>
        <v>Non-toxic</v>
      </c>
      <c r="F4" s="9"/>
      <c r="G4" s="9"/>
      <c r="H4" s="9"/>
      <c r="I4" s="9"/>
      <c r="J4" s="9"/>
      <c r="K4" s="9"/>
      <c r="L4" s="9"/>
      <c r="M4" s="9"/>
      <c r="N4" s="9"/>
    </row>
    <row r="5" spans="1:14">
      <c r="A5" s="10">
        <v>1</v>
      </c>
      <c r="B5" s="10">
        <v>4</v>
      </c>
      <c r="C5" s="9"/>
      <c r="D5" s="9">
        <v>91.943129999999996</v>
      </c>
      <c r="E5" s="9" t="str">
        <f t="shared" si="0"/>
        <v>Non-toxic</v>
      </c>
      <c r="F5" s="9"/>
      <c r="G5" s="9"/>
      <c r="H5" s="9"/>
      <c r="I5" s="9"/>
      <c r="J5" s="9"/>
      <c r="K5" s="9"/>
      <c r="L5" s="9"/>
      <c r="M5" s="9"/>
      <c r="N5" s="9"/>
    </row>
    <row r="6" spans="1:14">
      <c r="A6" s="10">
        <v>1</v>
      </c>
      <c r="B6" s="10">
        <v>5</v>
      </c>
      <c r="C6" s="9"/>
      <c r="D6" s="9">
        <v>84.834119999999999</v>
      </c>
      <c r="E6" s="9" t="str">
        <f t="shared" si="0"/>
        <v>Non-toxic</v>
      </c>
      <c r="F6" s="9"/>
      <c r="G6" s="9"/>
      <c r="H6" s="9"/>
      <c r="I6" s="9"/>
      <c r="J6" s="9"/>
      <c r="K6" s="9"/>
      <c r="L6" s="9"/>
      <c r="M6" s="9"/>
      <c r="N6" s="9"/>
    </row>
    <row r="7" spans="1:14">
      <c r="A7" s="10">
        <v>1</v>
      </c>
      <c r="B7" s="10">
        <v>6</v>
      </c>
      <c r="C7" s="9"/>
      <c r="D7" s="9">
        <v>105.21326999999999</v>
      </c>
      <c r="E7" s="9" t="str">
        <f t="shared" si="0"/>
        <v>Non-toxic</v>
      </c>
      <c r="F7" s="9"/>
      <c r="G7" s="9"/>
      <c r="H7" s="9"/>
      <c r="I7" s="9"/>
      <c r="J7" s="9"/>
      <c r="K7" s="9"/>
      <c r="L7" s="9"/>
      <c r="M7" s="9"/>
      <c r="N7" s="9"/>
    </row>
    <row r="8" spans="1:14">
      <c r="A8" s="10">
        <v>1</v>
      </c>
      <c r="B8" s="10">
        <v>7</v>
      </c>
      <c r="C8" s="9"/>
      <c r="D8" s="9">
        <v>157.19909999999999</v>
      </c>
      <c r="E8" s="9" t="str">
        <f t="shared" si="0"/>
        <v>Non-toxic</v>
      </c>
      <c r="F8" s="9"/>
      <c r="G8" s="9"/>
      <c r="H8" s="9"/>
      <c r="I8" s="9"/>
      <c r="J8" s="9"/>
      <c r="K8" s="9"/>
      <c r="L8" s="9"/>
      <c r="M8" s="9"/>
      <c r="N8" s="9"/>
    </row>
    <row r="9" spans="1:14">
      <c r="A9" s="10">
        <v>1</v>
      </c>
      <c r="B9" s="10">
        <v>8</v>
      </c>
      <c r="C9" s="9"/>
      <c r="D9" s="9">
        <v>140.75828999999999</v>
      </c>
      <c r="E9" s="9" t="str">
        <f t="shared" si="0"/>
        <v>Non-toxic</v>
      </c>
      <c r="F9" s="9"/>
      <c r="G9" s="9"/>
      <c r="H9" s="9"/>
      <c r="I9" s="9"/>
      <c r="J9" s="9"/>
      <c r="K9" s="9"/>
      <c r="L9" s="9"/>
      <c r="M9" s="9"/>
      <c r="N9" s="9"/>
    </row>
    <row r="10" spans="1:14">
      <c r="A10" s="10">
        <v>1</v>
      </c>
      <c r="B10" s="10">
        <v>9</v>
      </c>
      <c r="C10" s="9"/>
      <c r="D10" s="9">
        <v>101.4218</v>
      </c>
      <c r="E10" s="9" t="str">
        <f t="shared" si="0"/>
        <v>Non-toxic</v>
      </c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10">
        <v>1</v>
      </c>
      <c r="B11" s="10">
        <v>10</v>
      </c>
      <c r="C11" s="9"/>
      <c r="D11" s="9">
        <v>108.05687</v>
      </c>
      <c r="E11" s="9" t="str">
        <f t="shared" si="0"/>
        <v>Non-toxic</v>
      </c>
      <c r="F11" s="9"/>
      <c r="G11" s="9"/>
      <c r="H11" s="9"/>
      <c r="I11" s="9"/>
      <c r="J11" s="9"/>
      <c r="K11" s="9"/>
      <c r="L11" s="9"/>
      <c r="M11" s="9"/>
      <c r="N11" s="9"/>
    </row>
    <row r="12" spans="1:14">
      <c r="A12" s="10">
        <v>1</v>
      </c>
      <c r="B12" s="10">
        <v>11</v>
      </c>
      <c r="C12" s="9"/>
      <c r="D12" s="9">
        <v>97.156400000000005</v>
      </c>
      <c r="E12" s="9" t="str">
        <f t="shared" si="0"/>
        <v>Non-toxic</v>
      </c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10">
        <v>1</v>
      </c>
      <c r="B13" s="10">
        <v>12</v>
      </c>
      <c r="C13" s="9"/>
      <c r="D13" s="9">
        <v>85.308059999999998</v>
      </c>
      <c r="E13" s="9" t="str">
        <f t="shared" si="0"/>
        <v>Non-toxic</v>
      </c>
      <c r="F13" s="9"/>
      <c r="G13" s="9"/>
      <c r="H13" s="9"/>
      <c r="I13" s="9"/>
      <c r="J13" s="9"/>
      <c r="K13" s="9"/>
      <c r="L13" s="9"/>
      <c r="M13" s="9"/>
      <c r="N13" s="9"/>
    </row>
    <row r="14" spans="1:14">
      <c r="A14" s="10">
        <v>1</v>
      </c>
      <c r="B14" s="10">
        <v>13</v>
      </c>
      <c r="C14" s="9"/>
      <c r="D14" s="9">
        <v>84.360190000000003</v>
      </c>
      <c r="E14" s="9" t="str">
        <f t="shared" si="0"/>
        <v>Non-toxic</v>
      </c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s="10">
        <v>1</v>
      </c>
      <c r="B15" s="10">
        <v>14</v>
      </c>
      <c r="C15" s="9"/>
      <c r="D15" s="9">
        <v>86.729860000000002</v>
      </c>
      <c r="E15" s="9" t="str">
        <f t="shared" si="0"/>
        <v>Non-toxic</v>
      </c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10">
        <v>1</v>
      </c>
      <c r="B16" s="10">
        <v>15</v>
      </c>
      <c r="C16" s="9"/>
      <c r="D16" s="9">
        <v>84.834119999999999</v>
      </c>
      <c r="E16" s="9" t="str">
        <f t="shared" si="0"/>
        <v>Non-toxic</v>
      </c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10">
        <v>1</v>
      </c>
      <c r="B17" s="10">
        <v>16</v>
      </c>
      <c r="C17" s="9"/>
      <c r="D17" s="9">
        <v>92.891000000000005</v>
      </c>
      <c r="E17" s="9" t="str">
        <f t="shared" si="0"/>
        <v>Non-toxic</v>
      </c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10">
        <v>1</v>
      </c>
      <c r="B18" s="10">
        <v>17</v>
      </c>
      <c r="C18" s="9"/>
      <c r="D18" s="9">
        <v>99.052130000000005</v>
      </c>
      <c r="E18" s="9" t="str">
        <f t="shared" si="0"/>
        <v>Non-toxic</v>
      </c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10">
        <v>1</v>
      </c>
      <c r="B19" s="10">
        <v>18</v>
      </c>
      <c r="C19" s="9"/>
      <c r="D19" s="9">
        <v>88.625590000000003</v>
      </c>
      <c r="E19" s="9" t="str">
        <f t="shared" si="0"/>
        <v>Non-toxic</v>
      </c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10">
        <v>1</v>
      </c>
      <c r="B20" s="10">
        <v>19</v>
      </c>
      <c r="C20" s="9"/>
      <c r="D20" s="9">
        <v>87.203789999999998</v>
      </c>
      <c r="E20" s="9" t="str">
        <f t="shared" si="0"/>
        <v>Non-toxic</v>
      </c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10">
        <v>1</v>
      </c>
      <c r="B21" s="10">
        <v>20</v>
      </c>
      <c r="C21" s="9"/>
      <c r="D21" s="9">
        <v>72.985780000000005</v>
      </c>
      <c r="E21" s="9" t="str">
        <f t="shared" si="0"/>
        <v>Non-toxic</v>
      </c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12">
        <v>2</v>
      </c>
      <c r="B22" s="12">
        <v>1</v>
      </c>
      <c r="C22" s="13"/>
      <c r="D22" s="13">
        <v>105.14</v>
      </c>
      <c r="E22" s="13" t="str">
        <f t="shared" si="0"/>
        <v>Non-toxic</v>
      </c>
      <c r="F22" s="13"/>
      <c r="G22" s="13"/>
      <c r="H22" s="13"/>
      <c r="I22" s="13"/>
      <c r="J22" s="13"/>
      <c r="K22" s="13"/>
      <c r="L22" s="13"/>
      <c r="M22" s="13"/>
      <c r="N22" s="13"/>
    </row>
    <row r="23" spans="1:14">
      <c r="A23" s="10">
        <v>2</v>
      </c>
      <c r="B23" s="10">
        <v>2</v>
      </c>
      <c r="C23" s="9"/>
      <c r="D23" s="9">
        <v>108.5</v>
      </c>
      <c r="E23" s="9" t="str">
        <f t="shared" si="0"/>
        <v>Non-toxic</v>
      </c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10">
        <v>2</v>
      </c>
      <c r="B24" s="10">
        <v>3</v>
      </c>
      <c r="C24" s="9"/>
      <c r="D24" s="9">
        <v>107.1</v>
      </c>
      <c r="E24" s="9" t="str">
        <f t="shared" si="0"/>
        <v>Non-toxic</v>
      </c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10">
        <v>2</v>
      </c>
      <c r="B25" s="10">
        <v>4</v>
      </c>
      <c r="C25" s="9"/>
      <c r="D25" s="9">
        <v>100.65</v>
      </c>
      <c r="E25" s="9" t="str">
        <f t="shared" si="0"/>
        <v>Non-toxic</v>
      </c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10">
        <v>2</v>
      </c>
      <c r="B26" s="10">
        <v>5</v>
      </c>
      <c r="C26" s="9"/>
      <c r="D26" s="9">
        <v>101.21</v>
      </c>
      <c r="E26" s="9" t="str">
        <f t="shared" si="0"/>
        <v>Non-toxic</v>
      </c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10">
        <v>2</v>
      </c>
      <c r="B27" s="10">
        <v>6</v>
      </c>
      <c r="C27" s="9"/>
      <c r="D27" s="9">
        <v>94.76</v>
      </c>
      <c r="E27" s="9" t="str">
        <f t="shared" si="0"/>
        <v>Non-toxic</v>
      </c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A28" s="10">
        <v>2</v>
      </c>
      <c r="B28" s="10">
        <v>7</v>
      </c>
      <c r="C28" s="9"/>
      <c r="D28" s="9">
        <v>104.85</v>
      </c>
      <c r="E28" s="9" t="str">
        <f t="shared" si="0"/>
        <v>Non-toxic</v>
      </c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A29" s="10">
        <v>2</v>
      </c>
      <c r="B29" s="10">
        <v>8</v>
      </c>
      <c r="C29" s="9"/>
      <c r="D29" s="9">
        <v>97.57</v>
      </c>
      <c r="E29" s="9" t="str">
        <f t="shared" si="0"/>
        <v>Non-toxic</v>
      </c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A30" s="12">
        <v>3</v>
      </c>
      <c r="B30" s="12">
        <v>1</v>
      </c>
      <c r="C30" s="13"/>
      <c r="D30" s="13">
        <v>94.476744186046403</v>
      </c>
      <c r="E30" s="13" t="str">
        <f t="shared" si="0"/>
        <v>Non-toxic</v>
      </c>
      <c r="F30" s="13"/>
      <c r="G30" s="13"/>
      <c r="H30" s="13"/>
      <c r="I30" s="13"/>
      <c r="J30" s="13"/>
      <c r="K30" s="13"/>
      <c r="L30" s="13"/>
      <c r="M30" s="13"/>
      <c r="N30" s="13"/>
    </row>
    <row r="31" spans="1:14">
      <c r="A31" s="10">
        <v>3</v>
      </c>
      <c r="B31" s="10">
        <v>2</v>
      </c>
      <c r="C31" s="9"/>
      <c r="D31" s="9">
        <v>86.918604651162696</v>
      </c>
      <c r="E31" s="9" t="str">
        <f t="shared" si="0"/>
        <v>Non-toxic</v>
      </c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10">
        <v>3</v>
      </c>
      <c r="B32" s="10">
        <v>3</v>
      </c>
      <c r="C32" s="9"/>
      <c r="D32" s="9">
        <v>82.761627906976699</v>
      </c>
      <c r="E32" s="9" t="str">
        <f t="shared" si="0"/>
        <v>Non-toxic</v>
      </c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10">
        <v>3</v>
      </c>
      <c r="B33" s="10">
        <v>4</v>
      </c>
      <c r="C33" s="9"/>
      <c r="D33" s="9">
        <v>82.383720930232499</v>
      </c>
      <c r="E33" s="9" t="str">
        <f t="shared" si="0"/>
        <v>Non-toxic</v>
      </c>
      <c r="F33" s="9"/>
      <c r="G33" s="9"/>
      <c r="H33" s="9"/>
      <c r="I33" s="9"/>
      <c r="J33" s="9"/>
      <c r="K33" s="9"/>
      <c r="L33" s="9"/>
      <c r="M33" s="9"/>
      <c r="N33" s="9"/>
    </row>
    <row r="34" spans="1:14">
      <c r="A34" s="10">
        <v>3</v>
      </c>
      <c r="B34" s="10">
        <v>5</v>
      </c>
      <c r="C34" s="9"/>
      <c r="D34" s="9">
        <v>84.651162790697597</v>
      </c>
      <c r="E34" s="9" t="str">
        <f t="shared" si="0"/>
        <v>Non-toxic</v>
      </c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10">
        <v>3</v>
      </c>
      <c r="B35" s="10">
        <v>6</v>
      </c>
      <c r="C35" s="9"/>
      <c r="D35" s="9">
        <v>86.046511627906895</v>
      </c>
      <c r="E35" s="9" t="str">
        <f t="shared" si="0"/>
        <v>Non-toxic</v>
      </c>
      <c r="F35" s="9"/>
      <c r="G35" s="9"/>
      <c r="H35" s="9"/>
      <c r="I35" s="9"/>
      <c r="J35" s="9"/>
      <c r="K35" s="9"/>
      <c r="L35" s="9"/>
      <c r="M35" s="9"/>
      <c r="N35" s="9"/>
    </row>
    <row r="36" spans="1:14">
      <c r="A36" s="10">
        <v>3</v>
      </c>
      <c r="B36" s="10">
        <v>7</v>
      </c>
      <c r="C36" s="9"/>
      <c r="D36" s="9">
        <v>111.860465116279</v>
      </c>
      <c r="E36" s="9" t="str">
        <f t="shared" si="0"/>
        <v>Non-toxic</v>
      </c>
      <c r="F36" s="9"/>
      <c r="G36" s="9"/>
      <c r="H36" s="9"/>
      <c r="I36" s="9"/>
      <c r="J36" s="9"/>
      <c r="K36" s="9"/>
      <c r="L36" s="9"/>
      <c r="M36" s="9"/>
      <c r="N36" s="9"/>
    </row>
    <row r="37" spans="1:14">
      <c r="A37" s="10">
        <v>3</v>
      </c>
      <c r="B37" s="10">
        <v>8</v>
      </c>
      <c r="C37" s="9"/>
      <c r="D37" s="9">
        <v>81.249999999999901</v>
      </c>
      <c r="E37" s="9" t="str">
        <f t="shared" si="0"/>
        <v>Non-toxic</v>
      </c>
      <c r="F37" s="9"/>
      <c r="G37" s="9"/>
      <c r="H37" s="9"/>
      <c r="I37" s="9"/>
      <c r="J37" s="9"/>
      <c r="K37" s="9"/>
      <c r="L37" s="9"/>
      <c r="M37" s="9"/>
      <c r="N37" s="9"/>
    </row>
    <row r="38" spans="1:14">
      <c r="A38" s="10">
        <v>3</v>
      </c>
      <c r="B38" s="10">
        <v>9</v>
      </c>
      <c r="C38" s="9"/>
      <c r="D38" s="9">
        <v>83.517441860465098</v>
      </c>
      <c r="E38" s="9" t="str">
        <f t="shared" si="0"/>
        <v>Non-toxic</v>
      </c>
      <c r="F38" s="9"/>
      <c r="G38" s="9"/>
      <c r="H38" s="9"/>
      <c r="I38" s="9"/>
      <c r="J38" s="9"/>
      <c r="K38" s="9"/>
      <c r="L38" s="9"/>
      <c r="M38" s="9"/>
      <c r="N38" s="9"/>
    </row>
    <row r="39" spans="1:14">
      <c r="A39" s="10">
        <v>3</v>
      </c>
      <c r="B39" s="10">
        <v>10</v>
      </c>
      <c r="C39" s="9"/>
      <c r="D39" s="9">
        <v>83.517441860465098</v>
      </c>
      <c r="E39" s="9" t="str">
        <f t="shared" si="0"/>
        <v>Non-toxic</v>
      </c>
      <c r="F39" s="9"/>
      <c r="G39" s="9"/>
      <c r="H39" s="9"/>
      <c r="I39" s="9"/>
      <c r="J39" s="9"/>
      <c r="K39" s="9"/>
      <c r="L39" s="9"/>
      <c r="M39" s="9"/>
      <c r="N39" s="9"/>
    </row>
    <row r="40" spans="1:14">
      <c r="A40" s="10">
        <v>3</v>
      </c>
      <c r="B40" s="10">
        <v>11</v>
      </c>
      <c r="C40" s="9"/>
      <c r="D40" s="9">
        <v>84.273255813953398</v>
      </c>
      <c r="E40" s="9" t="str">
        <f t="shared" si="0"/>
        <v>Non-toxic</v>
      </c>
      <c r="F40" s="9"/>
      <c r="G40" s="9"/>
      <c r="H40" s="9"/>
      <c r="I40" s="9"/>
      <c r="J40" s="9"/>
      <c r="K40" s="9"/>
      <c r="L40" s="9"/>
      <c r="M40" s="9"/>
      <c r="N40" s="9"/>
    </row>
    <row r="41" spans="1:14">
      <c r="A41" s="10">
        <v>3</v>
      </c>
      <c r="B41" s="10">
        <v>12</v>
      </c>
      <c r="C41" s="9"/>
      <c r="D41" s="9">
        <v>82.0058139534883</v>
      </c>
      <c r="E41" s="9" t="str">
        <f t="shared" si="0"/>
        <v>Non-toxic</v>
      </c>
      <c r="F41" s="9"/>
      <c r="G41" s="9"/>
      <c r="H41" s="9"/>
      <c r="I41" s="9"/>
      <c r="J41" s="9"/>
      <c r="K41" s="9"/>
      <c r="L41" s="9"/>
      <c r="M41" s="9"/>
      <c r="N41" s="9"/>
    </row>
    <row r="42" spans="1:14">
      <c r="A42" s="10">
        <v>3</v>
      </c>
      <c r="B42" s="10">
        <v>13</v>
      </c>
      <c r="C42" s="9"/>
      <c r="D42" s="9">
        <v>90.697674418604606</v>
      </c>
      <c r="E42" s="9" t="str">
        <f t="shared" si="0"/>
        <v>Non-toxic</v>
      </c>
      <c r="F42" s="9"/>
      <c r="G42" s="9"/>
      <c r="H42" s="9"/>
      <c r="I42" s="9"/>
      <c r="J42" s="9"/>
      <c r="K42" s="9"/>
      <c r="L42" s="9"/>
      <c r="M42" s="9"/>
      <c r="N42" s="9"/>
    </row>
    <row r="43" spans="1:14">
      <c r="A43" s="10">
        <v>3</v>
      </c>
      <c r="B43" s="10">
        <v>14</v>
      </c>
      <c r="C43" s="9"/>
      <c r="D43" s="9">
        <v>80.494186046511601</v>
      </c>
      <c r="E43" s="9" t="str">
        <f t="shared" si="0"/>
        <v>Non-toxic</v>
      </c>
      <c r="F43" s="9"/>
      <c r="G43" s="9"/>
      <c r="H43" s="9"/>
      <c r="I43" s="9"/>
      <c r="J43" s="9"/>
      <c r="K43" s="9"/>
      <c r="L43" s="9"/>
      <c r="M43" s="9"/>
      <c r="N43" s="9"/>
    </row>
    <row r="44" spans="1:14">
      <c r="A44" s="10">
        <v>3</v>
      </c>
      <c r="B44" s="10">
        <v>15</v>
      </c>
      <c r="C44" s="9"/>
      <c r="D44" s="9">
        <v>83.517441860465098</v>
      </c>
      <c r="E44" s="9" t="str">
        <f t="shared" si="0"/>
        <v>Non-toxic</v>
      </c>
      <c r="F44" s="9"/>
      <c r="G44" s="9"/>
      <c r="H44" s="9"/>
      <c r="I44" s="9"/>
      <c r="J44" s="9"/>
      <c r="K44" s="9"/>
      <c r="L44" s="9"/>
      <c r="M44" s="9"/>
      <c r="N44" s="9"/>
    </row>
    <row r="45" spans="1:14">
      <c r="A45" s="10">
        <v>3</v>
      </c>
      <c r="B45" s="10">
        <v>16</v>
      </c>
      <c r="C45" s="9"/>
      <c r="D45" s="9">
        <v>94.854651162790603</v>
      </c>
      <c r="E45" s="9" t="str">
        <f t="shared" si="0"/>
        <v>Non-toxic</v>
      </c>
      <c r="F45" s="9"/>
      <c r="G45" s="9"/>
      <c r="H45" s="9"/>
      <c r="I45" s="9"/>
      <c r="J45" s="9"/>
      <c r="K45" s="9"/>
      <c r="L45" s="9"/>
      <c r="M45" s="9"/>
      <c r="N45" s="9"/>
    </row>
    <row r="46" spans="1:14">
      <c r="A46" s="10">
        <v>3</v>
      </c>
      <c r="B46" s="10">
        <v>17</v>
      </c>
      <c r="C46" s="9"/>
      <c r="D46" s="9">
        <v>85.029069767441797</v>
      </c>
      <c r="E46" s="9" t="str">
        <f t="shared" si="0"/>
        <v>Non-toxic</v>
      </c>
      <c r="F46" s="9"/>
      <c r="G46" s="9"/>
      <c r="H46" s="9"/>
      <c r="I46" s="9"/>
      <c r="J46" s="9"/>
      <c r="K46" s="9"/>
      <c r="L46" s="9"/>
      <c r="M46" s="9"/>
      <c r="N46" s="9"/>
    </row>
    <row r="47" spans="1:14">
      <c r="A47" s="10">
        <v>3</v>
      </c>
      <c r="B47" s="10">
        <v>18</v>
      </c>
      <c r="C47" s="9"/>
      <c r="D47" s="9">
        <v>99.011627906976699</v>
      </c>
      <c r="E47" s="9" t="str">
        <f t="shared" si="0"/>
        <v>Non-toxic</v>
      </c>
      <c r="F47" s="9"/>
      <c r="G47" s="9"/>
      <c r="H47" s="9"/>
      <c r="I47" s="9"/>
      <c r="J47" s="9"/>
      <c r="K47" s="9"/>
      <c r="L47" s="9"/>
      <c r="M47" s="9"/>
      <c r="N47" s="9"/>
    </row>
    <row r="48" spans="1:14">
      <c r="A48" s="10">
        <v>3</v>
      </c>
      <c r="B48" s="10">
        <v>19</v>
      </c>
      <c r="C48" s="9"/>
      <c r="D48" s="9">
        <v>98.633720930232499</v>
      </c>
      <c r="E48" s="9" t="str">
        <f t="shared" si="0"/>
        <v>Non-toxic</v>
      </c>
      <c r="F48" s="9"/>
      <c r="G48" s="9"/>
      <c r="H48" s="9"/>
      <c r="I48" s="9"/>
      <c r="J48" s="9"/>
      <c r="K48" s="9"/>
      <c r="L48" s="9"/>
      <c r="M48" s="9"/>
      <c r="N48" s="9"/>
    </row>
    <row r="49" spans="1:14">
      <c r="A49" s="10">
        <v>3</v>
      </c>
      <c r="B49" s="10">
        <v>20</v>
      </c>
      <c r="C49" s="9"/>
      <c r="D49" s="9">
        <v>89.186046511627893</v>
      </c>
      <c r="E49" s="9" t="str">
        <f t="shared" si="0"/>
        <v>Non-toxic</v>
      </c>
      <c r="F49" s="9"/>
      <c r="G49" s="9"/>
      <c r="H49" s="9"/>
      <c r="I49" s="9"/>
      <c r="J49" s="9"/>
      <c r="K49" s="9"/>
      <c r="L49" s="9"/>
      <c r="M49" s="9"/>
      <c r="N49" s="9"/>
    </row>
    <row r="50" spans="1:14">
      <c r="A50" s="12">
        <v>4</v>
      </c>
      <c r="B50" s="12">
        <v>1</v>
      </c>
      <c r="C50" s="13"/>
      <c r="D50" s="13">
        <v>45.76</v>
      </c>
      <c r="E50" s="13" t="str">
        <f t="shared" si="0"/>
        <v>Toxic</v>
      </c>
      <c r="F50" s="13"/>
      <c r="G50" s="13"/>
      <c r="H50" s="13"/>
      <c r="I50" s="13"/>
      <c r="J50" s="13"/>
      <c r="K50" s="13"/>
      <c r="L50" s="13"/>
      <c r="M50" s="13"/>
      <c r="N50" s="13"/>
    </row>
    <row r="51" spans="1:14">
      <c r="A51" s="10">
        <v>4</v>
      </c>
      <c r="B51" s="10">
        <v>2</v>
      </c>
      <c r="C51" s="9"/>
      <c r="D51" s="9">
        <v>68.47</v>
      </c>
      <c r="E51" s="9" t="str">
        <f t="shared" si="0"/>
        <v>Toxic</v>
      </c>
      <c r="F51" s="9"/>
      <c r="G51" s="9"/>
      <c r="H51" s="9"/>
      <c r="I51" s="9"/>
      <c r="J51" s="9"/>
      <c r="K51" s="9"/>
      <c r="L51" s="9"/>
      <c r="M51" s="9"/>
      <c r="N51" s="9"/>
    </row>
    <row r="52" spans="1:14">
      <c r="A52" s="10">
        <v>4</v>
      </c>
      <c r="B52" s="10">
        <v>3</v>
      </c>
      <c r="C52" s="9"/>
      <c r="D52" s="9">
        <v>109.49</v>
      </c>
      <c r="E52" s="9" t="str">
        <f t="shared" si="0"/>
        <v>Non-toxic</v>
      </c>
      <c r="F52" s="9"/>
      <c r="G52" s="9"/>
      <c r="H52" s="9"/>
      <c r="I52" s="9"/>
      <c r="J52" s="9"/>
      <c r="K52" s="9"/>
      <c r="L52" s="9"/>
      <c r="M52" s="9"/>
      <c r="N52" s="9"/>
    </row>
    <row r="53" spans="1:14" s="60" customFormat="1">
      <c r="A53" s="12">
        <v>5</v>
      </c>
      <c r="B53" s="12">
        <v>1</v>
      </c>
      <c r="C53" s="93"/>
      <c r="D53" s="15">
        <f>100-44.66</f>
        <v>55.34</v>
      </c>
      <c r="E53" s="13" t="str">
        <f t="shared" si="0"/>
        <v>Toxic</v>
      </c>
      <c r="F53" s="15"/>
      <c r="G53" s="15"/>
      <c r="H53" s="15"/>
      <c r="I53" s="15"/>
      <c r="J53" s="13"/>
      <c r="K53" s="13"/>
      <c r="L53" s="13"/>
      <c r="M53" s="13"/>
      <c r="N53" s="13"/>
    </row>
    <row r="54" spans="1:14">
      <c r="A54" s="10">
        <v>5</v>
      </c>
      <c r="B54" s="10">
        <v>2</v>
      </c>
      <c r="C54" s="87"/>
      <c r="D54" s="16">
        <f>100-21.73</f>
        <v>78.27</v>
      </c>
      <c r="E54" s="9" t="str">
        <f t="shared" si="0"/>
        <v>Non-toxic</v>
      </c>
      <c r="F54" s="88"/>
      <c r="G54" s="88"/>
      <c r="H54" s="88"/>
      <c r="I54" s="88"/>
      <c r="J54" s="9"/>
      <c r="K54" s="9"/>
      <c r="L54" s="9"/>
      <c r="M54" s="9"/>
      <c r="N54" s="9"/>
    </row>
    <row r="55" spans="1:14">
      <c r="A55" s="10">
        <v>5</v>
      </c>
      <c r="B55" s="10">
        <v>3</v>
      </c>
      <c r="C55" s="89"/>
      <c r="D55" s="16">
        <f>100-14.22</f>
        <v>85.78</v>
      </c>
      <c r="E55" s="9" t="str">
        <f t="shared" si="0"/>
        <v>Non-toxic</v>
      </c>
      <c r="F55" s="16"/>
      <c r="G55" s="16"/>
      <c r="H55" s="16"/>
      <c r="I55" s="16"/>
      <c r="J55" s="9"/>
      <c r="K55" s="9"/>
      <c r="L55" s="9"/>
      <c r="M55" s="9"/>
      <c r="N55" s="9"/>
    </row>
    <row r="56" spans="1:14">
      <c r="A56" s="10">
        <v>5</v>
      </c>
      <c r="B56" s="10">
        <v>4</v>
      </c>
      <c r="C56" s="89"/>
      <c r="D56" s="16">
        <f>100-57.5</f>
        <v>42.5</v>
      </c>
      <c r="E56" s="9" t="str">
        <f t="shared" si="0"/>
        <v>Toxic</v>
      </c>
      <c r="F56" s="16"/>
      <c r="G56" s="16"/>
      <c r="H56" s="16"/>
      <c r="I56" s="16"/>
      <c r="J56" s="9"/>
      <c r="K56" s="9"/>
      <c r="L56" s="9"/>
      <c r="M56" s="9"/>
      <c r="N56" s="9"/>
    </row>
    <row r="57" spans="1:14">
      <c r="A57" s="10">
        <v>5</v>
      </c>
      <c r="B57" s="10">
        <v>5</v>
      </c>
      <c r="C57" s="89"/>
      <c r="D57" s="16">
        <f>100-53.36</f>
        <v>46.64</v>
      </c>
      <c r="E57" s="9" t="str">
        <f t="shared" si="0"/>
        <v>Toxic</v>
      </c>
      <c r="F57" s="16"/>
      <c r="G57" s="16"/>
      <c r="H57" s="16"/>
      <c r="I57" s="16"/>
      <c r="J57" s="9"/>
      <c r="K57" s="9"/>
      <c r="L57" s="9"/>
      <c r="M57" s="9"/>
      <c r="N57" s="9"/>
    </row>
    <row r="58" spans="1:14">
      <c r="A58" s="10">
        <v>5</v>
      </c>
      <c r="B58" s="10">
        <v>6</v>
      </c>
      <c r="C58" s="89"/>
      <c r="D58" s="16">
        <f>100-37.74</f>
        <v>62.26</v>
      </c>
      <c r="E58" s="9" t="str">
        <f t="shared" si="0"/>
        <v>Toxic</v>
      </c>
      <c r="F58" s="16"/>
      <c r="G58" s="16"/>
      <c r="H58" s="16"/>
      <c r="I58" s="16"/>
      <c r="J58" s="9"/>
      <c r="K58" s="9"/>
      <c r="L58" s="9"/>
      <c r="M58" s="9"/>
      <c r="N58" s="9"/>
    </row>
    <row r="59" spans="1:14">
      <c r="A59" s="10">
        <v>5</v>
      </c>
      <c r="B59" s="10">
        <v>7</v>
      </c>
      <c r="C59" s="89"/>
      <c r="D59" s="16">
        <f>100-65.61</f>
        <v>34.39</v>
      </c>
      <c r="E59" s="9" t="str">
        <f t="shared" si="0"/>
        <v>Toxic</v>
      </c>
      <c r="F59" s="16"/>
      <c r="G59" s="16"/>
      <c r="H59" s="16"/>
      <c r="I59" s="16"/>
      <c r="J59" s="9"/>
      <c r="K59" s="9"/>
      <c r="L59" s="9"/>
      <c r="M59" s="9"/>
      <c r="N59" s="9"/>
    </row>
    <row r="60" spans="1:14">
      <c r="A60" s="10">
        <v>5</v>
      </c>
      <c r="B60" s="10">
        <v>8</v>
      </c>
      <c r="C60" s="89"/>
      <c r="D60" s="16">
        <f>100-59.28</f>
        <v>40.72</v>
      </c>
      <c r="E60" s="9" t="str">
        <f t="shared" si="0"/>
        <v>Toxic</v>
      </c>
      <c r="F60" s="16"/>
      <c r="G60" s="16"/>
      <c r="H60" s="16"/>
      <c r="I60" s="16"/>
      <c r="J60" s="9"/>
      <c r="K60" s="9"/>
      <c r="L60" s="9"/>
      <c r="M60" s="9"/>
      <c r="N60" s="9"/>
    </row>
    <row r="61" spans="1:14">
      <c r="A61" s="10">
        <v>5</v>
      </c>
      <c r="B61" s="10">
        <v>9</v>
      </c>
      <c r="C61" s="89"/>
      <c r="D61" s="16">
        <f>100-52.96</f>
        <v>47.04</v>
      </c>
      <c r="E61" s="9" t="str">
        <f t="shared" si="0"/>
        <v>Toxic</v>
      </c>
      <c r="F61" s="16"/>
      <c r="G61" s="16"/>
      <c r="H61" s="16"/>
      <c r="I61" s="16"/>
      <c r="J61" s="9"/>
      <c r="K61" s="9"/>
      <c r="L61" s="9"/>
      <c r="M61" s="9"/>
      <c r="N61" s="9"/>
    </row>
    <row r="62" spans="1:14" s="60" customFormat="1">
      <c r="A62" s="12">
        <v>6</v>
      </c>
      <c r="B62" s="12">
        <v>1</v>
      </c>
      <c r="C62" s="13"/>
      <c r="D62" s="13">
        <v>64.122137404580101</v>
      </c>
      <c r="E62" s="13" t="str">
        <f t="shared" si="0"/>
        <v>Toxic</v>
      </c>
      <c r="F62" s="13"/>
      <c r="G62" s="13"/>
      <c r="H62" s="13"/>
      <c r="I62" s="13"/>
      <c r="J62" s="13"/>
      <c r="K62" s="13"/>
      <c r="L62" s="13"/>
      <c r="M62" s="13"/>
      <c r="N62" s="13"/>
    </row>
    <row r="63" spans="1:14">
      <c r="A63" s="10">
        <v>6</v>
      </c>
      <c r="B63" s="10">
        <v>2</v>
      </c>
      <c r="C63" s="9"/>
      <c r="D63" s="9">
        <v>93.307000000000002</v>
      </c>
      <c r="E63" s="9" t="str">
        <f t="shared" si="0"/>
        <v>Non-toxic</v>
      </c>
      <c r="F63" s="9"/>
      <c r="G63" s="9"/>
      <c r="H63" s="9"/>
      <c r="I63" s="9"/>
      <c r="J63" s="9"/>
      <c r="K63" s="9"/>
      <c r="L63" s="9"/>
      <c r="M63" s="9"/>
      <c r="N63" s="9"/>
    </row>
    <row r="64" spans="1:14">
      <c r="A64" s="10">
        <v>6</v>
      </c>
      <c r="B64" s="10">
        <v>3</v>
      </c>
      <c r="C64" s="9"/>
      <c r="D64" s="9">
        <v>86.43</v>
      </c>
      <c r="E64" s="9" t="str">
        <f t="shared" si="0"/>
        <v>Non-toxic</v>
      </c>
      <c r="F64" s="9"/>
      <c r="G64" s="9"/>
      <c r="H64" s="9"/>
      <c r="I64" s="9"/>
      <c r="J64" s="9"/>
      <c r="K64" s="9"/>
      <c r="L64" s="9"/>
      <c r="M64" s="9"/>
      <c r="N64" s="9"/>
    </row>
    <row r="65" spans="1:14">
      <c r="A65" s="10">
        <v>6</v>
      </c>
      <c r="B65" s="10">
        <v>4</v>
      </c>
      <c r="C65" s="9"/>
      <c r="D65" s="9">
        <v>77.3</v>
      </c>
      <c r="E65" s="9" t="str">
        <f t="shared" si="0"/>
        <v>Non-toxic</v>
      </c>
      <c r="F65" s="9"/>
      <c r="G65" s="9"/>
      <c r="H65" s="9"/>
      <c r="I65" s="9"/>
      <c r="J65" s="9"/>
      <c r="K65" s="9"/>
      <c r="L65" s="9"/>
      <c r="M65" s="9"/>
      <c r="N65" s="9"/>
    </row>
    <row r="66" spans="1:14">
      <c r="A66" s="10">
        <v>6</v>
      </c>
      <c r="B66" s="10">
        <v>5</v>
      </c>
      <c r="C66" s="9"/>
      <c r="D66" s="9">
        <v>43.076000000000001</v>
      </c>
      <c r="E66" s="9" t="str">
        <f t="shared" si="0"/>
        <v>Toxic</v>
      </c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10">
        <v>6</v>
      </c>
      <c r="B67" s="10">
        <v>6</v>
      </c>
      <c r="C67" s="9"/>
      <c r="D67" s="9">
        <v>72.307000000000002</v>
      </c>
      <c r="E67" s="9" t="str">
        <f t="shared" ref="E67:E130" si="1">IF(D67="","",IF(D67&lt;70,"Toxic","Non-toxic"))</f>
        <v>Non-toxic</v>
      </c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12">
        <v>7</v>
      </c>
      <c r="B68" s="12">
        <v>1</v>
      </c>
      <c r="C68" s="13"/>
      <c r="D68" s="13"/>
      <c r="E68" s="13" t="str">
        <f t="shared" si="1"/>
        <v/>
      </c>
      <c r="F68" s="13"/>
      <c r="G68" s="13"/>
      <c r="H68" s="13"/>
      <c r="I68" s="13"/>
      <c r="J68" s="13">
        <v>0.99186799999999997</v>
      </c>
      <c r="K68" s="13">
        <v>0</v>
      </c>
      <c r="L68" s="13"/>
      <c r="M68" s="13"/>
      <c r="N68" s="13"/>
    </row>
    <row r="69" spans="1:14">
      <c r="A69" s="10">
        <v>7</v>
      </c>
      <c r="B69" s="10">
        <v>2</v>
      </c>
      <c r="C69" s="9"/>
      <c r="D69" s="9"/>
      <c r="E69" s="9" t="str">
        <f t="shared" si="1"/>
        <v/>
      </c>
      <c r="F69" s="9"/>
      <c r="G69" s="9"/>
      <c r="H69" s="9"/>
      <c r="I69" s="9"/>
      <c r="J69" s="9">
        <v>0.99257600000000001</v>
      </c>
      <c r="K69" s="9">
        <v>0</v>
      </c>
      <c r="L69" s="9"/>
      <c r="M69" s="9"/>
      <c r="N69" s="9"/>
    </row>
    <row r="70" spans="1:14">
      <c r="A70" s="10">
        <v>7</v>
      </c>
      <c r="B70" s="10">
        <v>3</v>
      </c>
      <c r="C70" s="9"/>
      <c r="D70" s="9"/>
      <c r="E70" s="9" t="str">
        <f t="shared" si="1"/>
        <v/>
      </c>
      <c r="F70" s="9"/>
      <c r="G70" s="9"/>
      <c r="H70" s="9"/>
      <c r="I70" s="9"/>
      <c r="J70" s="9">
        <v>0.98127799999999998</v>
      </c>
      <c r="K70" s="9">
        <v>1</v>
      </c>
      <c r="L70" s="9"/>
      <c r="M70" s="9"/>
      <c r="N70" s="9"/>
    </row>
    <row r="71" spans="1:14">
      <c r="A71" s="10">
        <v>7</v>
      </c>
      <c r="B71" s="10">
        <v>4</v>
      </c>
      <c r="C71" s="9"/>
      <c r="D71" s="9"/>
      <c r="E71" s="9" t="str">
        <f t="shared" si="1"/>
        <v/>
      </c>
      <c r="F71" s="9"/>
      <c r="G71" s="9"/>
      <c r="H71" s="9"/>
      <c r="I71" s="9"/>
      <c r="J71" s="9">
        <v>0.99712199999999995</v>
      </c>
      <c r="K71" s="9">
        <v>0</v>
      </c>
      <c r="L71" s="9"/>
      <c r="M71" s="9"/>
      <c r="N71" s="9"/>
    </row>
    <row r="72" spans="1:14">
      <c r="A72" s="10">
        <v>7</v>
      </c>
      <c r="B72" s="10">
        <v>5</v>
      </c>
      <c r="C72" s="9"/>
      <c r="D72" s="9"/>
      <c r="E72" s="9" t="str">
        <f t="shared" si="1"/>
        <v/>
      </c>
      <c r="F72" s="9"/>
      <c r="G72" s="9"/>
      <c r="H72" s="9"/>
      <c r="I72" s="9"/>
      <c r="J72" s="9">
        <v>0.99383999999999995</v>
      </c>
      <c r="K72" s="9">
        <v>0</v>
      </c>
      <c r="L72" s="9"/>
      <c r="M72" s="9"/>
      <c r="N72" s="9"/>
    </row>
    <row r="73" spans="1:14">
      <c r="A73" s="10">
        <v>7</v>
      </c>
      <c r="B73" s="10">
        <v>6</v>
      </c>
      <c r="C73" s="9"/>
      <c r="D73" s="9"/>
      <c r="E73" s="9" t="str">
        <f t="shared" si="1"/>
        <v/>
      </c>
      <c r="F73" s="9"/>
      <c r="G73" s="9"/>
      <c r="H73" s="9"/>
      <c r="I73" s="9"/>
      <c r="J73" s="9">
        <v>0.99447600000000003</v>
      </c>
      <c r="K73" s="9">
        <v>0</v>
      </c>
      <c r="L73" s="9"/>
      <c r="M73" s="9"/>
      <c r="N73" s="9"/>
    </row>
    <row r="74" spans="1:14">
      <c r="A74" s="10">
        <v>7</v>
      </c>
      <c r="B74" s="10">
        <v>7</v>
      </c>
      <c r="C74" s="9"/>
      <c r="D74" s="9"/>
      <c r="E74" s="9" t="str">
        <f t="shared" si="1"/>
        <v/>
      </c>
      <c r="F74" s="9"/>
      <c r="G74" s="9"/>
      <c r="H74" s="9"/>
      <c r="I74" s="9"/>
      <c r="J74" s="9">
        <v>0.99531099999999995</v>
      </c>
      <c r="K74" s="9">
        <v>0</v>
      </c>
      <c r="L74" s="9"/>
      <c r="M74" s="9"/>
      <c r="N74" s="9"/>
    </row>
    <row r="75" spans="1:14">
      <c r="A75" s="10">
        <v>7</v>
      </c>
      <c r="B75" s="10">
        <v>8</v>
      </c>
      <c r="C75" s="9"/>
      <c r="D75" s="9"/>
      <c r="E75" s="9" t="str">
        <f t="shared" si="1"/>
        <v/>
      </c>
      <c r="F75" s="9"/>
      <c r="G75" s="9"/>
      <c r="H75" s="9"/>
      <c r="I75" s="9"/>
      <c r="J75" s="9">
        <v>0.99060199999999998</v>
      </c>
      <c r="K75" s="9">
        <v>0</v>
      </c>
      <c r="L75" s="9"/>
      <c r="M75" s="9"/>
      <c r="N75" s="9"/>
    </row>
    <row r="76" spans="1:14">
      <c r="A76" s="10">
        <v>7</v>
      </c>
      <c r="B76" s="10">
        <v>9</v>
      </c>
      <c r="C76" s="9"/>
      <c r="D76" s="9"/>
      <c r="E76" s="9" t="str">
        <f t="shared" si="1"/>
        <v/>
      </c>
      <c r="F76" s="9"/>
      <c r="G76" s="9"/>
      <c r="H76" s="9"/>
      <c r="I76" s="9"/>
      <c r="J76" s="9">
        <v>0.99198699999999995</v>
      </c>
      <c r="K76" s="9">
        <v>0</v>
      </c>
      <c r="L76" s="9"/>
      <c r="M76" s="9"/>
      <c r="N76" s="9"/>
    </row>
    <row r="77" spans="1:14">
      <c r="A77" s="12">
        <v>8</v>
      </c>
      <c r="B77" s="12">
        <v>1</v>
      </c>
      <c r="C77" s="15"/>
      <c r="D77" s="15">
        <v>77.267046857240899</v>
      </c>
      <c r="E77" s="13" t="str">
        <f t="shared" si="1"/>
        <v>Non-toxic</v>
      </c>
      <c r="F77" s="15"/>
      <c r="G77" s="15"/>
      <c r="H77" s="15"/>
      <c r="I77" s="15"/>
      <c r="J77" s="13"/>
      <c r="K77" s="13"/>
      <c r="L77" s="13"/>
      <c r="M77" s="13"/>
      <c r="N77" s="13"/>
    </row>
    <row r="78" spans="1:14">
      <c r="A78" s="10">
        <v>8</v>
      </c>
      <c r="B78" s="10">
        <v>2</v>
      </c>
      <c r="C78" s="16"/>
      <c r="D78" s="16">
        <v>100.395227119281</v>
      </c>
      <c r="E78" s="9" t="str">
        <f t="shared" si="1"/>
        <v>Non-toxic</v>
      </c>
      <c r="F78" s="16"/>
      <c r="G78" s="16"/>
      <c r="H78" s="16"/>
      <c r="I78" s="16"/>
      <c r="J78" s="9"/>
      <c r="K78" s="9"/>
      <c r="L78" s="9"/>
      <c r="M78" s="9"/>
      <c r="N78" s="9"/>
    </row>
    <row r="79" spans="1:14">
      <c r="A79" s="10">
        <v>8</v>
      </c>
      <c r="B79" s="10">
        <v>3</v>
      </c>
      <c r="C79" s="16"/>
      <c r="D79" s="16">
        <v>102.55073554488401</v>
      </c>
      <c r="E79" s="9" t="str">
        <f t="shared" si="1"/>
        <v>Non-toxic</v>
      </c>
      <c r="F79" s="16"/>
      <c r="G79" s="16"/>
      <c r="H79" s="16"/>
      <c r="I79" s="16"/>
      <c r="J79" s="9"/>
      <c r="K79" s="9"/>
      <c r="L79" s="9"/>
      <c r="M79" s="9"/>
      <c r="N79" s="9"/>
    </row>
    <row r="80" spans="1:14">
      <c r="A80" s="10">
        <v>8</v>
      </c>
      <c r="B80" s="10">
        <v>4</v>
      </c>
      <c r="C80" s="16"/>
      <c r="D80" s="16">
        <v>71.739999999999995</v>
      </c>
      <c r="E80" s="9" t="str">
        <f t="shared" si="1"/>
        <v>Non-toxic</v>
      </c>
      <c r="F80" s="16"/>
      <c r="G80" s="16"/>
      <c r="H80" s="16"/>
      <c r="I80" s="16"/>
      <c r="J80" s="9"/>
      <c r="K80" s="9"/>
      <c r="L80" s="9"/>
      <c r="M80" s="9"/>
      <c r="N80" s="9"/>
    </row>
    <row r="81" spans="1:14">
      <c r="A81" s="10">
        <v>8</v>
      </c>
      <c r="B81" s="10">
        <v>5</v>
      </c>
      <c r="C81" s="16"/>
      <c r="D81" s="16">
        <v>89.694126607484193</v>
      </c>
      <c r="E81" s="9" t="str">
        <f t="shared" si="1"/>
        <v>Non-toxic</v>
      </c>
      <c r="F81" s="16"/>
      <c r="G81" s="16"/>
      <c r="H81" s="16"/>
      <c r="I81" s="16"/>
      <c r="J81" s="9"/>
      <c r="K81" s="9"/>
      <c r="L81" s="9"/>
      <c r="M81" s="9"/>
      <c r="N81" s="9"/>
    </row>
    <row r="82" spans="1:14">
      <c r="A82" s="10">
        <v>8</v>
      </c>
      <c r="B82" s="10">
        <v>6</v>
      </c>
      <c r="C82" s="16"/>
      <c r="D82" s="16">
        <v>105.139715908005</v>
      </c>
      <c r="E82" s="9" t="str">
        <f t="shared" si="1"/>
        <v>Non-toxic</v>
      </c>
      <c r="F82" s="16"/>
      <c r="G82" s="16"/>
      <c r="H82" s="16"/>
      <c r="I82" s="16"/>
      <c r="J82" s="9"/>
      <c r="K82" s="9"/>
      <c r="L82" s="9"/>
      <c r="M82" s="9"/>
      <c r="N82" s="9"/>
    </row>
    <row r="83" spans="1:14">
      <c r="A83" s="4">
        <v>9</v>
      </c>
      <c r="B83" s="4">
        <v>1</v>
      </c>
      <c r="C83" s="44">
        <v>639.14375518155703</v>
      </c>
      <c r="D83" s="22"/>
      <c r="E83" s="13" t="str">
        <f t="shared" si="1"/>
        <v/>
      </c>
      <c r="F83" s="22"/>
      <c r="G83" s="22"/>
      <c r="H83" s="22"/>
      <c r="I83" s="22"/>
      <c r="J83" s="13"/>
      <c r="K83" s="13"/>
      <c r="L83" s="13"/>
      <c r="M83" s="13"/>
      <c r="N83" s="13"/>
    </row>
    <row r="84" spans="1:14">
      <c r="A84" s="2">
        <v>9</v>
      </c>
      <c r="B84" s="2">
        <v>2</v>
      </c>
      <c r="C84" s="43">
        <v>648.31806678708699</v>
      </c>
      <c r="D84" s="16"/>
      <c r="E84" s="9" t="str">
        <f t="shared" si="1"/>
        <v/>
      </c>
      <c r="F84" s="16"/>
      <c r="G84" s="16"/>
      <c r="H84" s="16"/>
      <c r="I84" s="16"/>
      <c r="J84" s="9"/>
      <c r="K84" s="9"/>
      <c r="L84" s="9"/>
      <c r="M84" s="9"/>
      <c r="N84" s="9"/>
    </row>
    <row r="85" spans="1:14">
      <c r="A85" s="2">
        <v>9</v>
      </c>
      <c r="B85" s="2">
        <v>3</v>
      </c>
      <c r="C85" s="43">
        <v>758.40980605344805</v>
      </c>
      <c r="D85" s="16"/>
      <c r="E85" s="9" t="str">
        <f t="shared" si="1"/>
        <v/>
      </c>
      <c r="F85" s="16"/>
      <c r="G85" s="16"/>
      <c r="H85" s="16"/>
      <c r="I85" s="16"/>
      <c r="J85" s="9"/>
      <c r="K85" s="9"/>
      <c r="L85" s="9"/>
      <c r="M85" s="9"/>
      <c r="N85" s="9"/>
    </row>
    <row r="86" spans="1:14">
      <c r="A86" s="2">
        <v>9</v>
      </c>
      <c r="B86" s="2">
        <v>4</v>
      </c>
      <c r="C86" s="43">
        <v>729.35780763686205</v>
      </c>
      <c r="D86" s="17"/>
      <c r="E86" s="9" t="str">
        <f t="shared" si="1"/>
        <v/>
      </c>
      <c r="F86" s="17"/>
      <c r="G86" s="17"/>
      <c r="H86" s="17"/>
      <c r="I86" s="17"/>
      <c r="J86" s="9"/>
      <c r="K86" s="9"/>
      <c r="L86" s="9"/>
      <c r="M86" s="9"/>
      <c r="N86" s="9"/>
    </row>
    <row r="87" spans="1:14">
      <c r="A87" s="2">
        <v>9</v>
      </c>
      <c r="B87" s="2">
        <v>5</v>
      </c>
      <c r="C87" s="43">
        <v>444.79494571168601</v>
      </c>
      <c r="D87" s="9"/>
      <c r="E87" s="9" t="str">
        <f t="shared" si="1"/>
        <v/>
      </c>
      <c r="F87" s="9"/>
      <c r="G87" s="9"/>
      <c r="H87" s="9"/>
      <c r="I87" s="9"/>
      <c r="J87" s="9"/>
      <c r="K87" s="9"/>
      <c r="L87" s="9"/>
      <c r="M87" s="9"/>
      <c r="N87" s="9"/>
    </row>
    <row r="88" spans="1:14">
      <c r="A88" s="2">
        <v>9</v>
      </c>
      <c r="B88" s="2">
        <v>6</v>
      </c>
      <c r="C88" s="43">
        <v>340.694011570589</v>
      </c>
      <c r="D88" s="9"/>
      <c r="E88" s="9" t="str">
        <f t="shared" si="1"/>
        <v/>
      </c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2">
        <v>9</v>
      </c>
      <c r="B89" s="2">
        <v>7</v>
      </c>
      <c r="C89" s="43">
        <v>373.817031147134</v>
      </c>
      <c r="D89" s="9"/>
      <c r="E89" s="9" t="str">
        <f t="shared" si="1"/>
        <v/>
      </c>
      <c r="F89" s="9"/>
      <c r="G89" s="9"/>
      <c r="H89" s="9"/>
      <c r="I89" s="9"/>
      <c r="J89" s="9"/>
      <c r="K89" s="9"/>
      <c r="L89" s="9"/>
      <c r="M89" s="9"/>
      <c r="N89" s="9"/>
    </row>
    <row r="90" spans="1:14">
      <c r="A90" s="2">
        <v>9</v>
      </c>
      <c r="B90" s="2">
        <v>8</v>
      </c>
      <c r="C90" s="45">
        <v>370.97791456455099</v>
      </c>
      <c r="D90" s="9"/>
      <c r="E90" s="9" t="str">
        <f t="shared" si="1"/>
        <v/>
      </c>
      <c r="F90" s="9"/>
      <c r="G90" s="9"/>
      <c r="H90" s="9"/>
      <c r="I90" s="9"/>
      <c r="J90" s="9"/>
      <c r="K90" s="9"/>
      <c r="L90" s="9"/>
      <c r="M90" s="9"/>
      <c r="N90" s="9"/>
    </row>
    <row r="91" spans="1:14">
      <c r="A91" s="12">
        <v>10</v>
      </c>
      <c r="B91" s="12">
        <v>1</v>
      </c>
      <c r="C91" s="9"/>
      <c r="D91" s="13"/>
      <c r="E91" s="13" t="str">
        <f t="shared" si="1"/>
        <v/>
      </c>
      <c r="F91" s="13"/>
      <c r="G91" s="13"/>
      <c r="H91" s="13"/>
      <c r="I91" s="13"/>
      <c r="J91" s="13"/>
      <c r="K91" s="13">
        <v>0</v>
      </c>
      <c r="L91" s="13">
        <v>0</v>
      </c>
      <c r="M91" s="13"/>
      <c r="N91" s="13"/>
    </row>
    <row r="92" spans="1:14">
      <c r="A92" s="4">
        <v>11</v>
      </c>
      <c r="B92" s="4">
        <v>1</v>
      </c>
      <c r="C92" s="13"/>
      <c r="D92" s="13">
        <v>100</v>
      </c>
      <c r="E92" s="13" t="str">
        <f t="shared" si="1"/>
        <v>Non-toxic</v>
      </c>
      <c r="F92" s="13"/>
      <c r="G92" s="13"/>
      <c r="H92" s="13"/>
      <c r="I92" s="13"/>
      <c r="J92" s="13"/>
      <c r="K92" s="13">
        <v>0</v>
      </c>
      <c r="L92" s="13"/>
      <c r="M92" s="13"/>
      <c r="N92" s="13"/>
    </row>
    <row r="93" spans="1:14">
      <c r="A93" s="2">
        <v>11</v>
      </c>
      <c r="B93" s="2">
        <v>2</v>
      </c>
      <c r="C93" s="9"/>
      <c r="D93" s="9">
        <v>100</v>
      </c>
      <c r="E93" s="9" t="str">
        <f t="shared" si="1"/>
        <v>Non-toxic</v>
      </c>
      <c r="F93" s="9"/>
      <c r="G93" s="9"/>
      <c r="H93" s="9"/>
      <c r="I93" s="9"/>
      <c r="J93" s="9"/>
      <c r="K93" s="9">
        <v>0</v>
      </c>
      <c r="L93" s="9"/>
      <c r="M93" s="9"/>
      <c r="N93" s="9"/>
    </row>
    <row r="94" spans="1:14">
      <c r="A94" s="2">
        <v>11</v>
      </c>
      <c r="B94" s="2">
        <v>3</v>
      </c>
      <c r="C94" s="9"/>
      <c r="D94" s="9">
        <v>100</v>
      </c>
      <c r="E94" s="9" t="str">
        <f t="shared" si="1"/>
        <v>Non-toxic</v>
      </c>
      <c r="F94" s="9"/>
      <c r="G94" s="9"/>
      <c r="H94" s="9"/>
      <c r="I94" s="9"/>
      <c r="J94" s="9"/>
      <c r="K94" s="9">
        <v>0</v>
      </c>
      <c r="L94" s="9"/>
      <c r="M94" s="9"/>
      <c r="N94" s="9"/>
    </row>
    <row r="95" spans="1:14">
      <c r="A95" s="2">
        <v>11</v>
      </c>
      <c r="B95" s="2">
        <v>4</v>
      </c>
      <c r="C95" s="9"/>
      <c r="D95" s="9">
        <v>99</v>
      </c>
      <c r="E95" s="9" t="str">
        <f t="shared" si="1"/>
        <v>Non-toxic</v>
      </c>
      <c r="F95" s="9"/>
      <c r="G95" s="9"/>
      <c r="H95" s="9"/>
      <c r="I95" s="9"/>
      <c r="J95" s="9"/>
      <c r="K95" s="9">
        <v>0</v>
      </c>
      <c r="L95" s="9"/>
      <c r="M95" s="9"/>
      <c r="N95" s="9"/>
    </row>
    <row r="96" spans="1:14">
      <c r="A96" s="2">
        <v>11</v>
      </c>
      <c r="B96" s="2">
        <v>5</v>
      </c>
      <c r="C96" s="9"/>
      <c r="D96" s="9">
        <v>99</v>
      </c>
      <c r="E96" s="9" t="str">
        <f t="shared" si="1"/>
        <v>Non-toxic</v>
      </c>
      <c r="F96" s="9"/>
      <c r="G96" s="9"/>
      <c r="H96" s="9"/>
      <c r="I96" s="9"/>
      <c r="J96" s="9"/>
      <c r="K96" s="9">
        <v>0</v>
      </c>
      <c r="L96" s="9"/>
      <c r="M96" s="9"/>
      <c r="N96" s="9"/>
    </row>
    <row r="97" spans="1:14">
      <c r="A97" s="2">
        <v>11</v>
      </c>
      <c r="B97" s="2">
        <v>6</v>
      </c>
      <c r="C97" s="9"/>
      <c r="D97" s="9">
        <v>100</v>
      </c>
      <c r="E97" s="9" t="str">
        <f t="shared" si="1"/>
        <v>Non-toxic</v>
      </c>
      <c r="F97" s="9"/>
      <c r="G97" s="9"/>
      <c r="H97" s="9"/>
      <c r="I97" s="9"/>
      <c r="J97" s="9"/>
      <c r="K97" s="9">
        <v>0</v>
      </c>
      <c r="L97" s="9"/>
      <c r="M97" s="9"/>
      <c r="N97" s="9"/>
    </row>
    <row r="98" spans="1:14">
      <c r="A98" s="4">
        <v>12</v>
      </c>
      <c r="B98" s="4">
        <v>1</v>
      </c>
      <c r="C98" s="13"/>
      <c r="D98" s="13">
        <v>99</v>
      </c>
      <c r="E98" s="13" t="str">
        <f t="shared" si="1"/>
        <v>Non-toxic</v>
      </c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2">
        <v>12</v>
      </c>
      <c r="B99" s="2">
        <v>2</v>
      </c>
      <c r="C99" s="9"/>
      <c r="D99" s="9">
        <v>96</v>
      </c>
      <c r="E99" s="9" t="str">
        <f t="shared" si="1"/>
        <v>Non-toxic</v>
      </c>
      <c r="F99" s="9"/>
      <c r="G99" s="9"/>
      <c r="H99" s="9"/>
      <c r="I99" s="9"/>
      <c r="J99" s="9"/>
      <c r="K99" s="9"/>
      <c r="L99" s="9"/>
      <c r="M99" s="9"/>
      <c r="N99" s="9"/>
    </row>
    <row r="100" spans="1:14">
      <c r="A100" s="2">
        <v>12</v>
      </c>
      <c r="B100" s="2">
        <v>3</v>
      </c>
      <c r="C100" s="9"/>
      <c r="D100" s="9">
        <v>90</v>
      </c>
      <c r="E100" s="9" t="str">
        <f t="shared" si="1"/>
        <v>Non-toxic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1:14">
      <c r="A101" s="4">
        <v>13</v>
      </c>
      <c r="B101" s="4">
        <v>1</v>
      </c>
      <c r="C101" s="13"/>
      <c r="D101" s="4">
        <v>68</v>
      </c>
      <c r="E101" s="13" t="str">
        <f t="shared" si="1"/>
        <v>Toxic</v>
      </c>
      <c r="F101" s="4"/>
      <c r="G101" s="4"/>
      <c r="H101" s="4"/>
      <c r="I101" s="4"/>
      <c r="J101" s="13"/>
      <c r="K101" s="13"/>
      <c r="L101" s="13"/>
      <c r="M101" s="13"/>
      <c r="N101" s="13"/>
    </row>
    <row r="102" spans="1:14">
      <c r="A102" s="2">
        <v>13</v>
      </c>
      <c r="B102" s="2">
        <v>2</v>
      </c>
      <c r="C102" s="9"/>
      <c r="D102" s="2">
        <v>63</v>
      </c>
      <c r="E102" s="9" t="str">
        <f t="shared" si="1"/>
        <v>Toxic</v>
      </c>
      <c r="F102" s="2"/>
      <c r="G102" s="2"/>
      <c r="H102" s="2"/>
      <c r="I102" s="2"/>
      <c r="J102" s="9"/>
      <c r="K102" s="9"/>
      <c r="L102" s="9"/>
      <c r="M102" s="9"/>
      <c r="N102" s="9"/>
    </row>
    <row r="103" spans="1:14">
      <c r="A103" s="2">
        <v>13</v>
      </c>
      <c r="B103" s="2">
        <v>3</v>
      </c>
      <c r="C103" s="9"/>
      <c r="D103" s="9">
        <v>76</v>
      </c>
      <c r="E103" s="9" t="str">
        <f t="shared" si="1"/>
        <v>Non-toxic</v>
      </c>
      <c r="F103" s="9"/>
      <c r="G103" s="9"/>
      <c r="H103" s="9"/>
      <c r="I103" s="9"/>
      <c r="J103" s="9"/>
      <c r="K103" s="9"/>
      <c r="L103" s="9"/>
      <c r="M103" s="9"/>
      <c r="N103" s="9"/>
    </row>
    <row r="104" spans="1:14">
      <c r="A104" s="2">
        <v>13</v>
      </c>
      <c r="B104" s="2">
        <v>4</v>
      </c>
      <c r="C104" s="9"/>
      <c r="D104" s="9">
        <v>76</v>
      </c>
      <c r="E104" s="9" t="str">
        <f t="shared" si="1"/>
        <v>Non-toxic</v>
      </c>
      <c r="F104" s="9"/>
      <c r="G104" s="9"/>
      <c r="H104" s="9"/>
      <c r="I104" s="9"/>
      <c r="J104" s="9"/>
      <c r="K104" s="9"/>
      <c r="L104" s="9"/>
      <c r="M104" s="9"/>
      <c r="N104" s="9"/>
    </row>
    <row r="105" spans="1:14">
      <c r="A105" s="2">
        <v>13</v>
      </c>
      <c r="B105" s="2">
        <v>5</v>
      </c>
      <c r="C105" s="9"/>
      <c r="D105" s="9">
        <v>87</v>
      </c>
      <c r="E105" s="9" t="str">
        <f t="shared" si="1"/>
        <v>Non-toxic</v>
      </c>
      <c r="F105" s="9"/>
      <c r="G105" s="9"/>
      <c r="H105" s="9"/>
      <c r="I105" s="9"/>
      <c r="J105" s="9"/>
      <c r="K105" s="9"/>
      <c r="L105" s="9"/>
      <c r="M105" s="9"/>
      <c r="N105" s="9"/>
    </row>
    <row r="106" spans="1:14">
      <c r="A106" s="2">
        <v>13</v>
      </c>
      <c r="B106" s="2">
        <v>6</v>
      </c>
      <c r="C106" s="9"/>
      <c r="D106" s="9">
        <v>81</v>
      </c>
      <c r="E106" s="9" t="str">
        <f t="shared" si="1"/>
        <v>Non-toxic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1:14">
      <c r="A107" s="2">
        <v>13</v>
      </c>
      <c r="B107" s="2">
        <v>7</v>
      </c>
      <c r="C107" s="9"/>
      <c r="D107" s="9">
        <v>96</v>
      </c>
      <c r="E107" s="9" t="str">
        <f t="shared" si="1"/>
        <v>Non-toxic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1:14">
      <c r="A108" s="2">
        <v>13</v>
      </c>
      <c r="B108" s="2">
        <v>8</v>
      </c>
      <c r="C108" s="9"/>
      <c r="D108" s="9">
        <v>92</v>
      </c>
      <c r="E108" s="9" t="str">
        <f t="shared" si="1"/>
        <v>Non-toxic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1:14">
      <c r="A109" s="2">
        <v>13</v>
      </c>
      <c r="B109" s="2">
        <v>9</v>
      </c>
      <c r="C109" s="9"/>
      <c r="D109" s="9">
        <v>97</v>
      </c>
      <c r="E109" s="9" t="str">
        <f t="shared" si="1"/>
        <v>Non-toxic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1:14">
      <c r="A110" s="2">
        <v>13</v>
      </c>
      <c r="B110" s="2">
        <v>10</v>
      </c>
      <c r="C110" s="9"/>
      <c r="D110" s="9">
        <v>97</v>
      </c>
      <c r="E110" s="9" t="str">
        <f t="shared" si="1"/>
        <v>Non-toxic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1:14">
      <c r="A111" s="2">
        <v>13</v>
      </c>
      <c r="B111" s="2">
        <v>11</v>
      </c>
      <c r="C111" s="9"/>
      <c r="D111" s="9">
        <v>96</v>
      </c>
      <c r="E111" s="9" t="str">
        <f t="shared" si="1"/>
        <v>Non-toxic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1:14">
      <c r="A112" s="2">
        <v>13</v>
      </c>
      <c r="B112" s="2">
        <v>12</v>
      </c>
      <c r="C112" s="9"/>
      <c r="D112" s="9">
        <v>96</v>
      </c>
      <c r="E112" s="9" t="str">
        <f t="shared" si="1"/>
        <v>Non-toxic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1:14">
      <c r="A113" s="23">
        <v>14</v>
      </c>
      <c r="B113" s="23">
        <v>1</v>
      </c>
      <c r="C113" s="23"/>
      <c r="D113" s="23"/>
      <c r="E113" s="100" t="str">
        <f t="shared" si="1"/>
        <v/>
      </c>
      <c r="F113" s="23"/>
      <c r="G113" s="23"/>
      <c r="H113" s="23"/>
      <c r="I113" s="23"/>
      <c r="J113" s="23"/>
      <c r="K113" s="23"/>
      <c r="L113" s="23"/>
      <c r="M113" s="23"/>
      <c r="N113" s="23">
        <v>6.71</v>
      </c>
    </row>
    <row r="114" spans="1:14">
      <c r="A114" s="31">
        <v>15</v>
      </c>
      <c r="B114" s="31">
        <v>1</v>
      </c>
      <c r="C114" s="23"/>
      <c r="D114" s="99">
        <v>64.992826398852202</v>
      </c>
      <c r="E114" s="9" t="str">
        <f t="shared" si="1"/>
        <v>Toxic</v>
      </c>
      <c r="F114" s="32"/>
      <c r="G114" s="32"/>
      <c r="H114" s="32"/>
      <c r="I114" s="32"/>
      <c r="J114" s="23"/>
      <c r="K114" s="23"/>
      <c r="L114" s="23"/>
      <c r="M114" s="23"/>
      <c r="N114" s="23"/>
    </row>
    <row r="115" spans="1:14">
      <c r="A115" s="27">
        <v>15</v>
      </c>
      <c r="B115" s="27">
        <v>2</v>
      </c>
      <c r="C115" s="34"/>
      <c r="D115" s="68">
        <v>67.431850789096103</v>
      </c>
      <c r="E115" s="9" t="str">
        <f t="shared" si="1"/>
        <v>Toxic</v>
      </c>
      <c r="F115" s="33"/>
      <c r="G115" s="33"/>
      <c r="H115" s="33"/>
      <c r="I115" s="33"/>
      <c r="J115" s="34"/>
      <c r="K115" s="19"/>
      <c r="L115" s="19"/>
      <c r="M115" s="19"/>
      <c r="N115" s="19"/>
    </row>
    <row r="116" spans="1:14">
      <c r="A116" s="27">
        <v>15</v>
      </c>
      <c r="B116" s="27">
        <v>3</v>
      </c>
      <c r="C116" s="34"/>
      <c r="D116" s="68">
        <v>70.444763271162103</v>
      </c>
      <c r="E116" s="9" t="str">
        <f t="shared" si="1"/>
        <v>Non-toxic</v>
      </c>
      <c r="F116" s="33"/>
      <c r="G116" s="33"/>
      <c r="H116" s="33"/>
      <c r="I116" s="33"/>
      <c r="J116" s="34"/>
      <c r="K116" s="19"/>
      <c r="L116" s="19"/>
      <c r="M116" s="19"/>
      <c r="N116" s="19"/>
    </row>
    <row r="117" spans="1:14">
      <c r="A117" s="27">
        <v>15</v>
      </c>
      <c r="B117" s="27">
        <v>4</v>
      </c>
      <c r="C117" s="34"/>
      <c r="D117" s="68">
        <v>73.027259684361496</v>
      </c>
      <c r="E117" s="9" t="str">
        <f t="shared" si="1"/>
        <v>Non-toxic</v>
      </c>
      <c r="F117" s="33"/>
      <c r="G117" s="33"/>
      <c r="H117" s="33"/>
      <c r="I117" s="33"/>
      <c r="J117" s="34"/>
      <c r="K117" s="19"/>
      <c r="L117" s="19"/>
      <c r="M117" s="19"/>
      <c r="N117" s="19"/>
    </row>
    <row r="118" spans="1:14">
      <c r="A118" s="27">
        <v>15</v>
      </c>
      <c r="B118" s="27">
        <v>5</v>
      </c>
      <c r="C118" s="34"/>
      <c r="D118" s="68">
        <v>78.479196556671397</v>
      </c>
      <c r="E118" s="9" t="str">
        <f t="shared" si="1"/>
        <v>Non-toxic</v>
      </c>
      <c r="F118" s="33"/>
      <c r="G118" s="33"/>
      <c r="H118" s="33"/>
      <c r="I118" s="33"/>
      <c r="J118" s="34"/>
      <c r="K118" s="19"/>
      <c r="L118" s="19"/>
      <c r="M118" s="19"/>
      <c r="N118" s="19"/>
    </row>
    <row r="119" spans="1:14">
      <c r="A119" s="27">
        <v>15</v>
      </c>
      <c r="B119" s="27">
        <v>6</v>
      </c>
      <c r="C119" s="34"/>
      <c r="D119" s="68">
        <v>84.935437589670002</v>
      </c>
      <c r="E119" s="9" t="str">
        <f t="shared" si="1"/>
        <v>Non-toxic</v>
      </c>
      <c r="F119" s="33"/>
      <c r="G119" s="33"/>
      <c r="H119" s="33"/>
      <c r="I119" s="33"/>
      <c r="J119" s="34"/>
      <c r="K119" s="19"/>
      <c r="L119" s="19"/>
      <c r="M119" s="19"/>
      <c r="N119" s="19"/>
    </row>
    <row r="120" spans="1:14">
      <c r="A120" s="27">
        <v>15</v>
      </c>
      <c r="B120" s="27">
        <v>7</v>
      </c>
      <c r="C120" s="34"/>
      <c r="D120" s="68">
        <v>63.414634146341399</v>
      </c>
      <c r="E120" s="9" t="str">
        <f t="shared" si="1"/>
        <v>Toxic</v>
      </c>
      <c r="F120" s="33"/>
      <c r="G120" s="33"/>
      <c r="H120" s="33"/>
      <c r="I120" s="33"/>
      <c r="J120" s="34"/>
      <c r="K120" s="19"/>
      <c r="L120" s="19"/>
      <c r="M120" s="19"/>
      <c r="N120" s="19"/>
    </row>
    <row r="121" spans="1:14">
      <c r="A121" s="27">
        <v>15</v>
      </c>
      <c r="B121" s="27">
        <v>8</v>
      </c>
      <c r="C121" s="34"/>
      <c r="D121" s="68">
        <v>60.2582496413199</v>
      </c>
      <c r="E121" s="9" t="str">
        <f t="shared" si="1"/>
        <v>Toxic</v>
      </c>
      <c r="F121" s="33"/>
      <c r="G121" s="33"/>
      <c r="H121" s="33"/>
      <c r="I121" s="33"/>
      <c r="J121" s="34"/>
      <c r="K121" s="19"/>
      <c r="L121" s="19"/>
      <c r="M121" s="19"/>
      <c r="N121" s="19"/>
    </row>
    <row r="122" spans="1:14">
      <c r="A122" s="27">
        <v>15</v>
      </c>
      <c r="B122" s="27">
        <v>9</v>
      </c>
      <c r="C122" s="34"/>
      <c r="D122" s="68">
        <v>62.9842180774749</v>
      </c>
      <c r="E122" s="9" t="str">
        <f t="shared" si="1"/>
        <v>Toxic</v>
      </c>
      <c r="F122" s="33"/>
      <c r="G122" s="33"/>
      <c r="H122" s="33"/>
      <c r="I122" s="33"/>
      <c r="J122" s="34"/>
      <c r="K122" s="19"/>
      <c r="L122" s="19"/>
      <c r="M122" s="19"/>
      <c r="N122" s="19"/>
    </row>
    <row r="123" spans="1:14">
      <c r="A123" s="27">
        <v>15</v>
      </c>
      <c r="B123" s="27">
        <v>10</v>
      </c>
      <c r="C123" s="34"/>
      <c r="D123" s="68">
        <v>62.9842180774749</v>
      </c>
      <c r="E123" s="9" t="str">
        <f t="shared" si="1"/>
        <v>Toxic</v>
      </c>
      <c r="F123" s="33"/>
      <c r="G123" s="33"/>
      <c r="H123" s="33"/>
      <c r="I123" s="33"/>
      <c r="J123" s="34"/>
      <c r="K123" s="19"/>
      <c r="L123" s="19"/>
      <c r="M123" s="19"/>
      <c r="N123" s="19"/>
    </row>
    <row r="124" spans="1:14">
      <c r="A124" s="27">
        <v>15</v>
      </c>
      <c r="B124" s="27">
        <v>11</v>
      </c>
      <c r="C124" s="34"/>
      <c r="D124" s="68">
        <v>77.187948350071693</v>
      </c>
      <c r="E124" s="9" t="str">
        <f t="shared" si="1"/>
        <v>Non-toxic</v>
      </c>
      <c r="F124" s="33"/>
      <c r="G124" s="33"/>
      <c r="H124" s="33"/>
      <c r="I124" s="33"/>
      <c r="J124" s="34"/>
      <c r="K124" s="19"/>
      <c r="L124" s="19"/>
      <c r="M124" s="19"/>
      <c r="N124" s="19"/>
    </row>
    <row r="125" spans="1:14">
      <c r="A125" s="27">
        <v>15</v>
      </c>
      <c r="B125" s="27">
        <v>12</v>
      </c>
      <c r="C125" s="34"/>
      <c r="D125" s="68">
        <v>78.909612625538003</v>
      </c>
      <c r="E125" s="9" t="str">
        <f t="shared" si="1"/>
        <v>Non-toxic</v>
      </c>
      <c r="F125" s="33"/>
      <c r="G125" s="33"/>
      <c r="H125" s="33"/>
      <c r="I125" s="33"/>
      <c r="J125" s="34"/>
      <c r="K125" s="19"/>
      <c r="L125" s="19"/>
      <c r="M125" s="19"/>
      <c r="N125" s="19"/>
    </row>
    <row r="126" spans="1:14">
      <c r="A126" s="41">
        <v>16</v>
      </c>
      <c r="B126" s="41">
        <v>1</v>
      </c>
      <c r="C126" s="18"/>
      <c r="D126" s="70">
        <v>69.963099630996297</v>
      </c>
      <c r="E126" s="13" t="str">
        <f t="shared" si="1"/>
        <v>Toxic</v>
      </c>
      <c r="F126" s="18"/>
      <c r="G126" s="18"/>
      <c r="H126" s="18"/>
      <c r="I126" s="18"/>
      <c r="J126" s="18"/>
      <c r="K126" s="18"/>
      <c r="L126" s="18"/>
      <c r="M126" s="18"/>
      <c r="N126" s="18"/>
    </row>
    <row r="127" spans="1:14">
      <c r="A127" s="27">
        <v>16</v>
      </c>
      <c r="B127" s="27">
        <v>2</v>
      </c>
      <c r="C127" s="19"/>
      <c r="D127" s="56">
        <v>76.162361623616206</v>
      </c>
      <c r="E127" s="9" t="str">
        <f t="shared" si="1"/>
        <v>Non-toxic</v>
      </c>
      <c r="F127" s="19"/>
      <c r="G127" s="19"/>
      <c r="H127" s="19"/>
      <c r="I127" s="19"/>
      <c r="J127" s="19"/>
      <c r="K127" s="19"/>
      <c r="L127" s="19"/>
      <c r="M127" s="19"/>
      <c r="N127" s="19"/>
    </row>
    <row r="128" spans="1:14">
      <c r="A128" s="27">
        <v>16</v>
      </c>
      <c r="B128" s="27">
        <v>3</v>
      </c>
      <c r="C128" s="19"/>
      <c r="D128" s="56">
        <v>85.239852398523993</v>
      </c>
      <c r="E128" s="9" t="str">
        <f t="shared" si="1"/>
        <v>Non-toxic</v>
      </c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1:14">
      <c r="A129" s="27">
        <v>16</v>
      </c>
      <c r="B129" s="27">
        <v>4</v>
      </c>
      <c r="C129" s="19"/>
      <c r="D129" s="56">
        <v>73.055350553504994</v>
      </c>
      <c r="E129" s="9" t="str">
        <f t="shared" si="1"/>
        <v>Non-toxic</v>
      </c>
      <c r="F129" s="19"/>
      <c r="G129" s="19"/>
      <c r="H129" s="19"/>
      <c r="I129" s="19"/>
      <c r="J129" s="19"/>
      <c r="K129" s="19"/>
      <c r="L129" s="19"/>
      <c r="M129" s="19"/>
      <c r="N129" s="19"/>
    </row>
    <row r="130" spans="1:14">
      <c r="A130" s="27">
        <v>16</v>
      </c>
      <c r="B130" s="27">
        <v>5</v>
      </c>
      <c r="C130" s="19"/>
      <c r="D130" s="56">
        <v>69.520295202951999</v>
      </c>
      <c r="E130" s="9" t="str">
        <f t="shared" si="1"/>
        <v>Toxic</v>
      </c>
      <c r="F130" s="19"/>
      <c r="G130" s="19"/>
      <c r="H130" s="19"/>
      <c r="I130" s="19"/>
      <c r="J130" s="19"/>
      <c r="K130" s="19"/>
      <c r="L130" s="19"/>
      <c r="M130" s="19"/>
      <c r="N130" s="19"/>
    </row>
    <row r="131" spans="1:14">
      <c r="A131" s="27">
        <v>16</v>
      </c>
      <c r="B131" s="27">
        <v>6</v>
      </c>
      <c r="C131" s="19"/>
      <c r="D131" s="56">
        <v>60</v>
      </c>
      <c r="E131" s="9" t="str">
        <f t="shared" ref="E131:E194" si="2">IF(D131="","",IF(D131&lt;70,"Toxic","Non-toxic"))</f>
        <v>Toxic</v>
      </c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>
      <c r="A132" s="27">
        <v>16</v>
      </c>
      <c r="B132" s="27">
        <v>7</v>
      </c>
      <c r="C132" s="19"/>
      <c r="D132" s="56">
        <v>54.022140221402204</v>
      </c>
      <c r="E132" s="9" t="str">
        <f t="shared" si="2"/>
        <v>Toxic</v>
      </c>
      <c r="F132" s="19"/>
      <c r="G132" s="19"/>
      <c r="H132" s="19"/>
      <c r="I132" s="19"/>
      <c r="J132" s="19"/>
      <c r="K132" s="19"/>
      <c r="L132" s="19"/>
      <c r="M132" s="19"/>
      <c r="N132" s="19"/>
    </row>
    <row r="133" spans="1:14">
      <c r="A133" s="27">
        <v>16</v>
      </c>
      <c r="B133" s="27">
        <v>8</v>
      </c>
      <c r="C133" s="19"/>
      <c r="D133" s="56">
        <v>97.466467958271195</v>
      </c>
      <c r="E133" s="9" t="str">
        <f t="shared" si="2"/>
        <v>Non-toxic</v>
      </c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>
      <c r="A134" s="27">
        <v>16</v>
      </c>
      <c r="B134" s="27">
        <v>9</v>
      </c>
      <c r="C134" s="19"/>
      <c r="D134" s="56">
        <v>93.889716840536494</v>
      </c>
      <c r="E134" s="9" t="str">
        <f t="shared" si="2"/>
        <v>Non-toxic</v>
      </c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1:14">
      <c r="A135" s="27">
        <v>16</v>
      </c>
      <c r="B135" s="27">
        <v>10</v>
      </c>
      <c r="C135" s="19"/>
      <c r="D135" s="56">
        <v>92.637853949329298</v>
      </c>
      <c r="E135" s="9" t="str">
        <f t="shared" si="2"/>
        <v>Non-toxic</v>
      </c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1:14">
      <c r="A136" s="27">
        <v>16</v>
      </c>
      <c r="B136" s="27">
        <v>11</v>
      </c>
      <c r="C136" s="19"/>
      <c r="D136" s="56">
        <v>90.312965722801707</v>
      </c>
      <c r="E136" s="9" t="str">
        <f t="shared" si="2"/>
        <v>Non-toxic</v>
      </c>
      <c r="F136" s="19"/>
      <c r="G136" s="19"/>
      <c r="H136" s="19"/>
      <c r="I136" s="19"/>
      <c r="J136" s="19"/>
      <c r="K136" s="19"/>
      <c r="L136" s="19"/>
      <c r="M136" s="19"/>
      <c r="N136" s="19"/>
    </row>
    <row r="137" spans="1:14">
      <c r="A137" s="27">
        <v>16</v>
      </c>
      <c r="B137" s="27">
        <v>12</v>
      </c>
      <c r="C137" s="19"/>
      <c r="D137" s="56">
        <v>85.305514157973107</v>
      </c>
      <c r="E137" s="9" t="str">
        <f t="shared" si="2"/>
        <v>Non-toxic</v>
      </c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1:14">
      <c r="A138" s="27">
        <v>16</v>
      </c>
      <c r="B138" s="27">
        <v>13</v>
      </c>
      <c r="C138" s="19"/>
      <c r="D138" s="56">
        <v>80.655737704917996</v>
      </c>
      <c r="E138" s="9" t="str">
        <f t="shared" si="2"/>
        <v>Non-toxic</v>
      </c>
      <c r="F138" s="19"/>
      <c r="G138" s="19"/>
      <c r="H138" s="19"/>
      <c r="I138" s="19"/>
      <c r="J138" s="19"/>
      <c r="K138" s="19"/>
      <c r="L138" s="19"/>
      <c r="M138" s="19"/>
      <c r="N138" s="19"/>
    </row>
    <row r="139" spans="1:14">
      <c r="A139" s="27">
        <v>16</v>
      </c>
      <c r="B139" s="27">
        <v>14</v>
      </c>
      <c r="C139" s="19"/>
      <c r="D139" s="56">
        <v>66.706408345752607</v>
      </c>
      <c r="E139" s="9" t="str">
        <f t="shared" si="2"/>
        <v>Toxic</v>
      </c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1:14">
      <c r="A140" s="31">
        <v>17</v>
      </c>
      <c r="B140" s="31">
        <v>1</v>
      </c>
      <c r="C140" s="18"/>
      <c r="D140" s="47">
        <f>100-33.136364718114</f>
        <v>66.86363528188599</v>
      </c>
      <c r="E140" s="13" t="str">
        <f t="shared" si="2"/>
        <v>Toxic</v>
      </c>
      <c r="F140" s="47"/>
      <c r="G140" s="47"/>
      <c r="H140" s="47"/>
      <c r="I140" s="47"/>
      <c r="J140" s="18"/>
      <c r="K140" s="18"/>
      <c r="L140" s="18"/>
      <c r="M140" s="18"/>
      <c r="N140" s="18"/>
    </row>
    <row r="141" spans="1:14">
      <c r="A141" s="27">
        <v>17</v>
      </c>
      <c r="B141" s="27">
        <v>2</v>
      </c>
      <c r="C141" s="19"/>
      <c r="D141" s="51">
        <f>100-38.2500010078603</f>
        <v>61.749998992139702</v>
      </c>
      <c r="E141" s="9" t="str">
        <f t="shared" si="2"/>
        <v>Toxic</v>
      </c>
      <c r="F141" s="51"/>
      <c r="G141" s="51"/>
      <c r="H141" s="51"/>
      <c r="I141" s="51"/>
      <c r="J141" s="19"/>
      <c r="K141" s="19"/>
      <c r="L141" s="19"/>
      <c r="M141" s="19"/>
      <c r="N141" s="19"/>
    </row>
    <row r="142" spans="1:14">
      <c r="A142" s="27">
        <v>17</v>
      </c>
      <c r="B142" s="27">
        <v>3</v>
      </c>
      <c r="C142" s="19"/>
      <c r="D142" s="51">
        <f>100-30.0000021674415</f>
        <v>69.999997832558506</v>
      </c>
      <c r="E142" s="9" t="str">
        <f t="shared" si="2"/>
        <v>Toxic</v>
      </c>
      <c r="F142" s="51"/>
      <c r="G142" s="51"/>
      <c r="H142" s="51"/>
      <c r="I142" s="51"/>
      <c r="J142" s="19"/>
      <c r="K142" s="19"/>
      <c r="L142" s="19"/>
      <c r="M142" s="19"/>
      <c r="N142" s="19"/>
    </row>
    <row r="143" spans="1:14">
      <c r="A143" s="27">
        <v>17</v>
      </c>
      <c r="B143" s="27">
        <v>4</v>
      </c>
      <c r="C143" s="19"/>
      <c r="D143" s="52">
        <f>100-11.1136382837925</f>
        <v>88.886361716207503</v>
      </c>
      <c r="E143" s="9" t="str">
        <f t="shared" si="2"/>
        <v>Non-toxic</v>
      </c>
      <c r="F143" s="52"/>
      <c r="G143" s="52"/>
      <c r="H143" s="52"/>
      <c r="I143" s="52"/>
      <c r="J143" s="19"/>
      <c r="K143" s="19"/>
      <c r="L143" s="19"/>
      <c r="M143" s="19"/>
      <c r="N143" s="19"/>
    </row>
    <row r="144" spans="1:14">
      <c r="A144" s="27">
        <v>17</v>
      </c>
      <c r="B144" s="27">
        <v>5</v>
      </c>
      <c r="C144" s="19"/>
      <c r="D144" s="52">
        <f>100-22.3636381212344</f>
        <v>77.636361878765598</v>
      </c>
      <c r="E144" s="9" t="str">
        <f t="shared" si="2"/>
        <v>Non-toxic</v>
      </c>
      <c r="F144" s="52"/>
      <c r="G144" s="52"/>
      <c r="H144" s="52"/>
      <c r="I144" s="52"/>
      <c r="J144" s="19"/>
      <c r="K144" s="19"/>
      <c r="L144" s="19"/>
      <c r="M144" s="19"/>
      <c r="N144" s="19"/>
    </row>
    <row r="145" spans="1:14">
      <c r="A145" s="27">
        <v>17</v>
      </c>
      <c r="B145" s="27">
        <v>6</v>
      </c>
      <c r="C145" s="19"/>
      <c r="D145" s="52">
        <f>100-27.2727294795769</f>
        <v>72.727270520423104</v>
      </c>
      <c r="E145" s="9" t="str">
        <f t="shared" si="2"/>
        <v>Non-toxic</v>
      </c>
      <c r="F145" s="52"/>
      <c r="G145" s="52"/>
      <c r="H145" s="52"/>
      <c r="I145" s="52"/>
      <c r="J145" s="19"/>
      <c r="K145" s="19"/>
      <c r="L145" s="19"/>
      <c r="M145" s="19"/>
      <c r="N145" s="19"/>
    </row>
    <row r="146" spans="1:14">
      <c r="A146" s="27">
        <v>17</v>
      </c>
      <c r="B146" s="27">
        <v>7</v>
      </c>
      <c r="C146" s="19"/>
      <c r="D146" s="46">
        <f>100-10.1590918026679</f>
        <v>89.840908197332098</v>
      </c>
      <c r="E146" s="9" t="str">
        <f t="shared" si="2"/>
        <v>Non-toxic</v>
      </c>
      <c r="F146" s="46"/>
      <c r="G146" s="46"/>
      <c r="H146" s="46"/>
      <c r="I146" s="46"/>
      <c r="J146" s="19"/>
      <c r="K146" s="19"/>
      <c r="L146" s="19"/>
      <c r="M146" s="19"/>
      <c r="N146" s="19"/>
    </row>
    <row r="147" spans="1:14">
      <c r="A147" s="27">
        <v>17</v>
      </c>
      <c r="B147" s="27">
        <v>8</v>
      </c>
      <c r="C147" s="19"/>
      <c r="D147" s="46">
        <f>100-20.1818194507567</f>
        <v>79.818180549243294</v>
      </c>
      <c r="E147" s="9" t="str">
        <f t="shared" si="2"/>
        <v>Non-toxic</v>
      </c>
      <c r="F147" s="46"/>
      <c r="G147" s="46"/>
      <c r="H147" s="46"/>
      <c r="I147" s="46"/>
      <c r="J147" s="19"/>
      <c r="K147" s="19"/>
      <c r="L147" s="19"/>
      <c r="M147" s="19"/>
      <c r="N147" s="19"/>
    </row>
    <row r="148" spans="1:14">
      <c r="A148" s="27">
        <v>17</v>
      </c>
      <c r="B148" s="27">
        <v>9</v>
      </c>
      <c r="C148" s="19"/>
      <c r="D148" s="46">
        <f>100-21.0000017773021</f>
        <v>78.999998222697897</v>
      </c>
      <c r="E148" s="9" t="str">
        <f t="shared" si="2"/>
        <v>Non-toxic</v>
      </c>
      <c r="F148" s="46"/>
      <c r="G148" s="46"/>
      <c r="H148" s="46"/>
      <c r="I148" s="46"/>
      <c r="J148" s="19"/>
      <c r="K148" s="19"/>
      <c r="L148" s="19"/>
      <c r="M148" s="19"/>
      <c r="N148" s="19"/>
    </row>
    <row r="149" spans="1:14">
      <c r="A149" s="41">
        <v>18</v>
      </c>
      <c r="B149" s="41">
        <v>1</v>
      </c>
      <c r="C149" s="18"/>
      <c r="D149" s="18">
        <v>86</v>
      </c>
      <c r="E149" s="13" t="str">
        <f t="shared" si="2"/>
        <v>Non-toxic</v>
      </c>
      <c r="F149" s="18"/>
      <c r="G149" s="18"/>
      <c r="H149" s="18"/>
      <c r="I149" s="18"/>
      <c r="J149" s="18"/>
      <c r="K149" s="18"/>
      <c r="L149" s="18"/>
      <c r="M149" s="18"/>
      <c r="N149" s="18"/>
    </row>
    <row r="150" spans="1:14">
      <c r="A150" s="27">
        <v>18</v>
      </c>
      <c r="B150" s="27">
        <v>2</v>
      </c>
      <c r="C150" s="19"/>
      <c r="D150" s="19">
        <v>42</v>
      </c>
      <c r="E150" s="9" t="str">
        <f t="shared" si="2"/>
        <v>Toxic</v>
      </c>
      <c r="F150" s="19"/>
      <c r="G150" s="19"/>
      <c r="H150" s="19"/>
      <c r="I150" s="19"/>
      <c r="J150" s="19"/>
      <c r="K150" s="19"/>
      <c r="L150" s="19"/>
      <c r="M150" s="19"/>
      <c r="N150" s="19"/>
    </row>
    <row r="151" spans="1:14">
      <c r="A151" s="27">
        <v>18</v>
      </c>
      <c r="B151" s="27">
        <v>3</v>
      </c>
      <c r="C151" s="19"/>
      <c r="D151" s="19">
        <v>85</v>
      </c>
      <c r="E151" s="9" t="str">
        <f t="shared" si="2"/>
        <v>Non-toxic</v>
      </c>
      <c r="F151" s="19"/>
      <c r="G151" s="19"/>
      <c r="H151" s="19"/>
      <c r="I151" s="19"/>
      <c r="J151" s="19"/>
      <c r="K151" s="19"/>
      <c r="L151" s="19"/>
      <c r="M151" s="19"/>
      <c r="N151" s="19"/>
    </row>
    <row r="152" spans="1:14">
      <c r="A152" s="27">
        <v>18</v>
      </c>
      <c r="B152" s="27">
        <v>4</v>
      </c>
      <c r="C152" s="19"/>
      <c r="D152" s="46">
        <v>99.625468164794</v>
      </c>
      <c r="E152" s="9" t="str">
        <f t="shared" si="2"/>
        <v>Non-toxic</v>
      </c>
      <c r="G152" s="19"/>
      <c r="H152" s="19"/>
      <c r="I152" s="19"/>
      <c r="J152" s="19"/>
      <c r="K152" s="19"/>
      <c r="L152" s="19"/>
      <c r="M152" s="19"/>
      <c r="N152" s="19"/>
    </row>
    <row r="153" spans="1:14">
      <c r="A153" s="27">
        <v>18</v>
      </c>
      <c r="B153" s="27">
        <v>5</v>
      </c>
      <c r="C153" s="19"/>
      <c r="D153" s="46">
        <v>65.917602996254701</v>
      </c>
      <c r="E153" s="9" t="str">
        <f t="shared" si="2"/>
        <v>Toxic</v>
      </c>
      <c r="F153" s="19"/>
      <c r="G153" s="19"/>
      <c r="H153" s="19"/>
      <c r="I153" s="19"/>
      <c r="J153" s="19"/>
      <c r="K153" s="19"/>
      <c r="L153" s="19"/>
      <c r="M153" s="19"/>
      <c r="N153" s="19"/>
    </row>
    <row r="154" spans="1:14">
      <c r="A154" s="27">
        <v>18</v>
      </c>
      <c r="B154" s="27">
        <v>6</v>
      </c>
      <c r="C154" s="19"/>
      <c r="D154" s="19">
        <v>58</v>
      </c>
      <c r="E154" s="9" t="str">
        <f t="shared" si="2"/>
        <v>Toxic</v>
      </c>
      <c r="F154" s="19"/>
      <c r="G154" s="19"/>
      <c r="H154" s="19"/>
      <c r="I154" s="19"/>
      <c r="J154" s="19"/>
      <c r="K154" s="19"/>
      <c r="L154" s="19"/>
      <c r="M154" s="19"/>
      <c r="N154" s="19"/>
    </row>
    <row r="155" spans="1:14">
      <c r="A155" s="27">
        <v>18</v>
      </c>
      <c r="B155" s="27">
        <v>7</v>
      </c>
      <c r="C155" s="19"/>
      <c r="D155" s="46">
        <v>84.410646387832699</v>
      </c>
      <c r="E155" s="9" t="str">
        <f t="shared" si="2"/>
        <v>Non-toxic</v>
      </c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1:14">
      <c r="A156" s="27">
        <v>18</v>
      </c>
      <c r="B156" s="27">
        <v>8</v>
      </c>
      <c r="C156" s="19"/>
      <c r="D156" s="46">
        <v>76.996197718631095</v>
      </c>
      <c r="E156" s="9" t="str">
        <f t="shared" si="2"/>
        <v>Non-toxic</v>
      </c>
      <c r="F156" s="19"/>
      <c r="G156" s="19"/>
      <c r="H156" s="19"/>
      <c r="I156" s="19"/>
      <c r="J156" s="19"/>
      <c r="K156" s="19"/>
      <c r="L156" s="19"/>
      <c r="M156" s="19"/>
      <c r="N156" s="19"/>
    </row>
    <row r="157" spans="1:14">
      <c r="A157" s="41">
        <v>19</v>
      </c>
      <c r="B157" s="41">
        <v>1</v>
      </c>
      <c r="C157" s="18"/>
      <c r="D157" s="18"/>
      <c r="E157" s="13" t="str">
        <f t="shared" si="2"/>
        <v/>
      </c>
      <c r="F157" s="18"/>
      <c r="G157" s="18"/>
      <c r="H157" s="18">
        <v>2.3800000000000002E-2</v>
      </c>
      <c r="I157" s="18" t="s">
        <v>299</v>
      </c>
      <c r="J157" s="18"/>
      <c r="K157" s="18"/>
      <c r="L157" s="18"/>
      <c r="M157" s="18"/>
      <c r="N157" s="18"/>
    </row>
    <row r="158" spans="1:14">
      <c r="A158" s="27">
        <v>19</v>
      </c>
      <c r="B158" s="27">
        <v>2</v>
      </c>
      <c r="C158" s="19"/>
      <c r="D158" s="19"/>
      <c r="E158" s="9" t="str">
        <f t="shared" si="2"/>
        <v/>
      </c>
      <c r="F158" s="19"/>
      <c r="G158" s="19"/>
      <c r="H158" s="19">
        <v>2.2599999999999999E-2</v>
      </c>
      <c r="I158" s="19" t="s">
        <v>299</v>
      </c>
      <c r="J158" s="19"/>
      <c r="K158" s="19"/>
      <c r="L158" s="19"/>
      <c r="M158" s="19"/>
      <c r="N158" s="19"/>
    </row>
    <row r="159" spans="1:14">
      <c r="A159" s="41">
        <v>20</v>
      </c>
      <c r="B159" s="41">
        <v>1</v>
      </c>
      <c r="C159" s="18">
        <v>3460</v>
      </c>
      <c r="D159" s="18">
        <v>76.66</v>
      </c>
      <c r="E159" s="13" t="str">
        <f t="shared" si="2"/>
        <v>Non-toxic</v>
      </c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>
      <c r="A160" s="27">
        <v>20</v>
      </c>
      <c r="B160" s="27">
        <v>2</v>
      </c>
      <c r="C160" s="19">
        <v>1644</v>
      </c>
      <c r="D160" s="19">
        <v>74.44</v>
      </c>
      <c r="E160" s="9" t="str">
        <f t="shared" si="2"/>
        <v>Non-toxic</v>
      </c>
      <c r="F160" s="19"/>
      <c r="G160" s="19"/>
      <c r="H160" s="19"/>
      <c r="I160" s="19"/>
      <c r="J160" s="19"/>
      <c r="K160" s="19"/>
      <c r="L160" s="19"/>
      <c r="M160" s="19"/>
      <c r="N160" s="19"/>
    </row>
    <row r="161" spans="1:14">
      <c r="A161" s="27">
        <v>20</v>
      </c>
      <c r="B161" s="27">
        <v>3</v>
      </c>
      <c r="C161" s="19">
        <v>1271</v>
      </c>
      <c r="D161" s="19">
        <v>72.959999999999994</v>
      </c>
      <c r="E161" s="9" t="str">
        <f t="shared" si="2"/>
        <v>Non-toxic</v>
      </c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1:14">
      <c r="A162" s="27">
        <v>20</v>
      </c>
      <c r="B162" s="27">
        <v>4</v>
      </c>
      <c r="C162" s="19">
        <v>710</v>
      </c>
      <c r="D162" s="19">
        <v>71.11</v>
      </c>
      <c r="E162" s="9" t="str">
        <f t="shared" si="2"/>
        <v>Non-toxic</v>
      </c>
      <c r="F162" s="19"/>
      <c r="G162" s="19"/>
      <c r="H162" s="19"/>
      <c r="I162" s="19"/>
      <c r="J162" s="19"/>
      <c r="K162" s="19"/>
      <c r="L162" s="19"/>
      <c r="M162" s="19"/>
      <c r="N162" s="19"/>
    </row>
    <row r="163" spans="1:14">
      <c r="A163" s="27">
        <v>20</v>
      </c>
      <c r="B163" s="27">
        <v>5</v>
      </c>
      <c r="C163" s="19"/>
      <c r="D163" s="19">
        <v>82.9</v>
      </c>
      <c r="E163" s="9" t="str">
        <f t="shared" si="2"/>
        <v>Non-toxic</v>
      </c>
      <c r="F163" s="19"/>
      <c r="G163" s="19"/>
      <c r="H163" s="19"/>
      <c r="I163" s="19"/>
      <c r="J163" s="19"/>
      <c r="K163" s="19"/>
      <c r="L163" s="19"/>
      <c r="M163" s="19"/>
      <c r="N163" s="19"/>
    </row>
    <row r="164" spans="1:14">
      <c r="A164" s="27">
        <v>20</v>
      </c>
      <c r="B164" s="27">
        <v>6</v>
      </c>
      <c r="C164" s="19">
        <v>3570</v>
      </c>
      <c r="D164" s="19">
        <v>77.400000000000006</v>
      </c>
      <c r="E164" s="9" t="str">
        <f t="shared" si="2"/>
        <v>Non-toxic</v>
      </c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1:14">
      <c r="A165" s="27">
        <v>20</v>
      </c>
      <c r="B165" s="27">
        <v>7</v>
      </c>
      <c r="C165" s="19">
        <v>1589</v>
      </c>
      <c r="D165" s="19">
        <v>75.55</v>
      </c>
      <c r="E165" s="9" t="str">
        <f t="shared" si="2"/>
        <v>Non-toxic</v>
      </c>
      <c r="F165" s="19"/>
      <c r="G165" s="19"/>
      <c r="H165" s="19"/>
      <c r="I165" s="19"/>
      <c r="J165" s="19"/>
      <c r="K165" s="19"/>
      <c r="L165" s="19"/>
      <c r="M165" s="19"/>
      <c r="N165" s="19"/>
    </row>
    <row r="166" spans="1:14">
      <c r="A166" s="27">
        <v>20</v>
      </c>
      <c r="B166" s="27">
        <v>8</v>
      </c>
      <c r="C166" s="19">
        <v>1046</v>
      </c>
      <c r="D166" s="19">
        <v>71.849999999999994</v>
      </c>
      <c r="E166" s="9" t="str">
        <f t="shared" si="2"/>
        <v>Non-toxic</v>
      </c>
      <c r="F166" s="19"/>
      <c r="G166" s="19"/>
      <c r="H166" s="19"/>
      <c r="I166" s="19"/>
      <c r="J166" s="19"/>
      <c r="K166" s="19"/>
      <c r="L166" s="19"/>
      <c r="M166" s="19"/>
      <c r="N166" s="19"/>
    </row>
    <row r="167" spans="1:14">
      <c r="A167" s="27">
        <v>20</v>
      </c>
      <c r="B167" s="27">
        <v>9</v>
      </c>
      <c r="C167" s="19">
        <v>915</v>
      </c>
      <c r="D167" s="19">
        <v>75.180000000000007</v>
      </c>
      <c r="E167" s="9" t="str">
        <f t="shared" si="2"/>
        <v>Non-toxic</v>
      </c>
      <c r="F167" s="19"/>
      <c r="G167" s="19"/>
      <c r="H167" s="19"/>
      <c r="I167" s="19"/>
      <c r="J167" s="19"/>
      <c r="K167" s="19"/>
      <c r="L167" s="19"/>
      <c r="M167" s="19"/>
      <c r="N167" s="19"/>
    </row>
    <row r="168" spans="1:14">
      <c r="A168" s="27">
        <v>20</v>
      </c>
      <c r="B168" s="27">
        <v>10</v>
      </c>
      <c r="C168" s="19"/>
      <c r="D168" s="19">
        <v>94.92</v>
      </c>
      <c r="E168" s="9" t="str">
        <f t="shared" si="2"/>
        <v>Non-toxic</v>
      </c>
      <c r="F168" s="19"/>
      <c r="G168" s="19"/>
      <c r="H168" s="19"/>
      <c r="I168" s="19"/>
      <c r="J168" s="19"/>
      <c r="K168" s="19"/>
      <c r="L168" s="19"/>
      <c r="M168" s="19"/>
      <c r="N168" s="19"/>
    </row>
    <row r="169" spans="1:14">
      <c r="A169" s="27">
        <v>20</v>
      </c>
      <c r="B169" s="27">
        <v>11</v>
      </c>
      <c r="C169" s="19">
        <v>2355</v>
      </c>
      <c r="D169" s="19">
        <v>78.150000000000006</v>
      </c>
      <c r="E169" s="9" t="str">
        <f t="shared" si="2"/>
        <v>Non-toxic</v>
      </c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1:14">
      <c r="A170" s="27">
        <v>20</v>
      </c>
      <c r="B170" s="27">
        <v>12</v>
      </c>
      <c r="C170" s="19">
        <v>1439</v>
      </c>
      <c r="D170" s="19">
        <v>72.59</v>
      </c>
      <c r="E170" s="9" t="str">
        <f t="shared" si="2"/>
        <v>Non-toxic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1:14">
      <c r="A171" s="27">
        <v>20</v>
      </c>
      <c r="B171" s="27">
        <v>13</v>
      </c>
      <c r="C171" s="19">
        <v>785</v>
      </c>
      <c r="D171" s="19">
        <v>73.33</v>
      </c>
      <c r="E171" s="9" t="str">
        <f t="shared" si="2"/>
        <v>Non-toxic</v>
      </c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14">
      <c r="A172" s="27">
        <v>20</v>
      </c>
      <c r="B172" s="27">
        <v>14</v>
      </c>
      <c r="C172" s="19">
        <v>654</v>
      </c>
      <c r="D172" s="19">
        <v>71.48</v>
      </c>
      <c r="E172" s="9" t="str">
        <f t="shared" si="2"/>
        <v>Non-toxic</v>
      </c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14">
      <c r="A173" s="27">
        <v>20</v>
      </c>
      <c r="B173" s="27">
        <v>15</v>
      </c>
      <c r="C173" s="19"/>
      <c r="D173" s="19">
        <v>87.25</v>
      </c>
      <c r="E173" s="9" t="str">
        <f t="shared" si="2"/>
        <v>Non-toxic</v>
      </c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14">
      <c r="A174" s="41">
        <v>21</v>
      </c>
      <c r="B174" s="41">
        <v>1</v>
      </c>
      <c r="C174" s="18"/>
      <c r="D174" s="70">
        <v>88.0597014925373</v>
      </c>
      <c r="E174" s="13" t="str">
        <f t="shared" si="2"/>
        <v>Non-toxic</v>
      </c>
      <c r="F174" s="53"/>
      <c r="G174" s="53"/>
      <c r="H174" s="18"/>
      <c r="I174" s="18"/>
      <c r="J174" s="18"/>
      <c r="K174" s="18"/>
      <c r="L174" s="18"/>
      <c r="M174" s="18"/>
      <c r="N174" s="18"/>
    </row>
    <row r="175" spans="1:14">
      <c r="A175" s="27">
        <v>21</v>
      </c>
      <c r="B175" s="27">
        <v>2</v>
      </c>
      <c r="C175" s="19"/>
      <c r="D175" s="56">
        <v>87.462686567164198</v>
      </c>
      <c r="E175" s="9" t="str">
        <f t="shared" si="2"/>
        <v>Non-toxic</v>
      </c>
      <c r="F175" s="54"/>
      <c r="G175" s="54"/>
      <c r="H175" s="19"/>
      <c r="I175" s="19"/>
      <c r="J175" s="19"/>
      <c r="K175" s="19"/>
      <c r="L175" s="19"/>
      <c r="M175" s="19"/>
      <c r="N175" s="19"/>
    </row>
    <row r="176" spans="1:14">
      <c r="A176" s="27">
        <v>21</v>
      </c>
      <c r="B176" s="27">
        <v>3</v>
      </c>
      <c r="C176" s="19"/>
      <c r="D176" s="56">
        <v>84.776119402985003</v>
      </c>
      <c r="E176" s="9" t="str">
        <f t="shared" si="2"/>
        <v>Non-toxic</v>
      </c>
      <c r="F176" s="56"/>
      <c r="G176" s="56"/>
      <c r="H176" s="19"/>
      <c r="I176" s="19"/>
      <c r="J176" s="19"/>
      <c r="K176" s="19"/>
      <c r="L176" s="19"/>
      <c r="M176" s="19"/>
      <c r="N176" s="19"/>
    </row>
    <row r="177" spans="1:14">
      <c r="A177" s="27">
        <v>21</v>
      </c>
      <c r="B177" s="27">
        <v>4</v>
      </c>
      <c r="C177" s="19"/>
      <c r="D177" s="56">
        <v>80.597014925373102</v>
      </c>
      <c r="E177" s="9" t="str">
        <f t="shared" si="2"/>
        <v>Non-toxic</v>
      </c>
      <c r="F177" s="56"/>
      <c r="G177" s="56"/>
      <c r="H177" s="19"/>
      <c r="I177" s="19"/>
      <c r="J177" s="19"/>
      <c r="K177" s="19"/>
      <c r="L177" s="19"/>
      <c r="M177" s="19"/>
      <c r="N177" s="19"/>
    </row>
    <row r="178" spans="1:14">
      <c r="A178" s="27">
        <v>21</v>
      </c>
      <c r="B178" s="27">
        <v>5</v>
      </c>
      <c r="C178" s="19"/>
      <c r="D178" s="56">
        <v>81.492537313432805</v>
      </c>
      <c r="E178" s="9" t="str">
        <f t="shared" si="2"/>
        <v>Non-toxic</v>
      </c>
      <c r="F178" s="56"/>
      <c r="G178" s="56"/>
      <c r="H178" s="19"/>
      <c r="I178" s="19"/>
      <c r="J178" s="19"/>
      <c r="K178" s="19"/>
      <c r="L178" s="19"/>
      <c r="M178" s="19"/>
      <c r="N178" s="19"/>
    </row>
    <row r="179" spans="1:14">
      <c r="A179" s="27">
        <v>21</v>
      </c>
      <c r="B179" s="27">
        <v>6</v>
      </c>
      <c r="C179" s="19"/>
      <c r="D179" s="71">
        <v>105.37313432835801</v>
      </c>
      <c r="E179" s="9" t="str">
        <f t="shared" si="2"/>
        <v>Non-toxic</v>
      </c>
      <c r="F179" s="57"/>
      <c r="G179" s="57"/>
      <c r="H179" s="19"/>
      <c r="I179" s="19"/>
      <c r="J179" s="19"/>
      <c r="K179" s="19"/>
      <c r="L179" s="19"/>
      <c r="M179" s="19"/>
      <c r="N179" s="19"/>
    </row>
    <row r="180" spans="1:14">
      <c r="A180" s="27">
        <v>21</v>
      </c>
      <c r="B180" s="27">
        <v>7</v>
      </c>
      <c r="C180" s="19"/>
      <c r="D180" s="71">
        <v>157.61194029850699</v>
      </c>
      <c r="E180" s="9" t="str">
        <f t="shared" si="2"/>
        <v>Non-toxic</v>
      </c>
      <c r="F180" s="57"/>
      <c r="G180" s="57"/>
      <c r="H180" s="19"/>
      <c r="I180" s="19"/>
      <c r="J180" s="19"/>
      <c r="K180" s="19"/>
      <c r="L180" s="19"/>
      <c r="M180" s="19"/>
      <c r="N180" s="19"/>
    </row>
    <row r="181" spans="1:14">
      <c r="A181" s="27">
        <v>21</v>
      </c>
      <c r="B181" s="27">
        <v>8</v>
      </c>
      <c r="C181" s="19"/>
      <c r="D181" s="71">
        <v>142.08955223880599</v>
      </c>
      <c r="E181" s="9" t="str">
        <f t="shared" si="2"/>
        <v>Non-toxic</v>
      </c>
      <c r="F181" s="57"/>
      <c r="G181" s="57"/>
      <c r="H181" s="19"/>
      <c r="I181" s="19"/>
      <c r="J181" s="19"/>
      <c r="K181" s="19"/>
      <c r="L181" s="19"/>
      <c r="M181" s="19"/>
      <c r="N181" s="19"/>
    </row>
    <row r="182" spans="1:14">
      <c r="A182" s="27">
        <v>21</v>
      </c>
      <c r="B182" s="27">
        <v>9</v>
      </c>
      <c r="C182" s="19"/>
      <c r="D182" s="71">
        <v>102.388059701492</v>
      </c>
      <c r="E182" s="9" t="str">
        <f t="shared" si="2"/>
        <v>Non-toxic</v>
      </c>
      <c r="F182" s="57"/>
      <c r="G182" s="57"/>
      <c r="H182" s="19"/>
      <c r="I182" s="19"/>
      <c r="J182" s="19"/>
      <c r="K182" s="19"/>
      <c r="L182" s="19"/>
      <c r="M182" s="19"/>
      <c r="N182" s="19"/>
    </row>
    <row r="183" spans="1:14">
      <c r="A183" s="27">
        <v>21</v>
      </c>
      <c r="B183" s="27">
        <v>10</v>
      </c>
      <c r="C183" s="19"/>
      <c r="D183" s="71">
        <v>108.65671641791</v>
      </c>
      <c r="E183" s="9" t="str">
        <f t="shared" si="2"/>
        <v>Non-toxic</v>
      </c>
      <c r="F183" s="57"/>
      <c r="G183" s="57"/>
      <c r="H183" s="19"/>
      <c r="I183" s="19"/>
      <c r="J183" s="19"/>
      <c r="K183" s="19"/>
      <c r="L183" s="19"/>
      <c r="M183" s="19"/>
      <c r="N183" s="19"/>
    </row>
    <row r="184" spans="1:14">
      <c r="A184" s="27">
        <v>21</v>
      </c>
      <c r="B184" s="27">
        <v>11</v>
      </c>
      <c r="C184" s="19"/>
      <c r="D184" s="71">
        <v>93.731343283582106</v>
      </c>
      <c r="E184" s="9" t="str">
        <f t="shared" si="2"/>
        <v>Non-toxic</v>
      </c>
      <c r="F184" s="57"/>
      <c r="G184" s="57"/>
      <c r="H184" s="19"/>
      <c r="I184" s="19"/>
      <c r="J184" s="19"/>
      <c r="K184" s="19"/>
      <c r="L184" s="19"/>
      <c r="M184" s="19"/>
      <c r="N184" s="19"/>
    </row>
    <row r="185" spans="1:14">
      <c r="A185" s="27">
        <v>21</v>
      </c>
      <c r="B185" s="27">
        <v>12</v>
      </c>
      <c r="C185" s="19"/>
      <c r="D185" s="71">
        <v>113.43283582089499</v>
      </c>
      <c r="E185" s="9" t="str">
        <f t="shared" si="2"/>
        <v>Non-toxic</v>
      </c>
      <c r="F185" s="57"/>
      <c r="G185" s="57"/>
      <c r="H185" s="19"/>
      <c r="I185" s="19"/>
      <c r="J185" s="19"/>
      <c r="K185" s="19"/>
      <c r="L185" s="19"/>
      <c r="M185" s="19"/>
      <c r="N185" s="19"/>
    </row>
    <row r="186" spans="1:14">
      <c r="A186" s="27">
        <v>21</v>
      </c>
      <c r="B186" s="27">
        <v>13</v>
      </c>
      <c r="C186" s="19"/>
      <c r="D186" s="71">
        <v>106.268656716417</v>
      </c>
      <c r="E186" s="9" t="str">
        <f t="shared" si="2"/>
        <v>Non-toxic</v>
      </c>
      <c r="F186" s="57"/>
      <c r="G186" s="57"/>
      <c r="H186" s="19"/>
      <c r="I186" s="19"/>
      <c r="J186" s="19"/>
      <c r="K186" s="19"/>
      <c r="L186" s="19"/>
      <c r="M186" s="19"/>
      <c r="N186" s="19"/>
    </row>
    <row r="187" spans="1:14">
      <c r="A187" s="27">
        <v>21</v>
      </c>
      <c r="B187" s="27">
        <v>14</v>
      </c>
      <c r="C187" s="19"/>
      <c r="D187" s="71">
        <v>127.462686567164</v>
      </c>
      <c r="E187" s="9" t="str">
        <f t="shared" si="2"/>
        <v>Non-toxic</v>
      </c>
      <c r="F187" s="57"/>
      <c r="G187" s="57"/>
      <c r="H187" s="19"/>
      <c r="I187" s="19"/>
      <c r="J187" s="19"/>
      <c r="K187" s="19"/>
      <c r="L187" s="19"/>
      <c r="M187" s="19"/>
      <c r="N187" s="19"/>
    </row>
    <row r="188" spans="1:14">
      <c r="A188" s="27">
        <v>21</v>
      </c>
      <c r="B188" s="27">
        <v>15</v>
      </c>
      <c r="C188" s="19"/>
      <c r="D188" s="71">
        <v>115.223880597014</v>
      </c>
      <c r="E188" s="9" t="str">
        <f t="shared" si="2"/>
        <v>Non-toxic</v>
      </c>
      <c r="F188" s="57"/>
      <c r="G188" s="57"/>
      <c r="H188" s="19"/>
      <c r="I188" s="19"/>
      <c r="J188" s="19"/>
      <c r="K188" s="19"/>
      <c r="L188" s="19"/>
      <c r="M188" s="19"/>
      <c r="N188" s="19"/>
    </row>
    <row r="189" spans="1:14">
      <c r="A189" s="27">
        <v>21</v>
      </c>
      <c r="B189" s="27">
        <v>16</v>
      </c>
      <c r="C189" s="19"/>
      <c r="D189" s="71">
        <v>119.10447761194</v>
      </c>
      <c r="E189" s="9" t="str">
        <f t="shared" si="2"/>
        <v>Non-toxic</v>
      </c>
      <c r="F189" s="57"/>
      <c r="G189" s="57"/>
      <c r="H189" s="19"/>
      <c r="I189" s="19"/>
      <c r="J189" s="19"/>
      <c r="K189" s="19"/>
      <c r="L189" s="19"/>
      <c r="M189" s="19"/>
      <c r="N189" s="19"/>
    </row>
    <row r="190" spans="1:14">
      <c r="A190" s="27">
        <v>21</v>
      </c>
      <c r="B190" s="27">
        <v>17</v>
      </c>
      <c r="C190" s="19"/>
      <c r="D190" s="71">
        <v>95.522388059701498</v>
      </c>
      <c r="E190" s="9" t="str">
        <f t="shared" si="2"/>
        <v>Non-toxic</v>
      </c>
      <c r="F190" s="57"/>
      <c r="G190" s="57"/>
      <c r="H190" s="19"/>
      <c r="I190" s="19"/>
      <c r="J190" s="19"/>
      <c r="K190" s="19"/>
      <c r="L190" s="19"/>
      <c r="M190" s="19"/>
      <c r="N190" s="19"/>
    </row>
    <row r="191" spans="1:14">
      <c r="A191" s="27">
        <v>21</v>
      </c>
      <c r="B191" s="27">
        <v>18</v>
      </c>
      <c r="C191" s="19"/>
      <c r="D191" s="71">
        <v>102.388059701492</v>
      </c>
      <c r="E191" s="9" t="str">
        <f t="shared" si="2"/>
        <v>Non-toxic</v>
      </c>
      <c r="F191" s="57"/>
      <c r="G191" s="57"/>
      <c r="H191" s="19"/>
      <c r="I191" s="19"/>
      <c r="J191" s="19"/>
      <c r="K191" s="19"/>
      <c r="L191" s="19"/>
      <c r="M191" s="19"/>
      <c r="N191" s="19"/>
    </row>
    <row r="192" spans="1:14">
      <c r="A192" s="27">
        <v>21</v>
      </c>
      <c r="B192" s="27">
        <v>19</v>
      </c>
      <c r="C192" s="19"/>
      <c r="D192" s="71">
        <v>91.343283582089498</v>
      </c>
      <c r="E192" s="9" t="str">
        <f t="shared" si="2"/>
        <v>Non-toxic</v>
      </c>
      <c r="F192" s="57"/>
      <c r="G192" s="57"/>
      <c r="H192" s="19"/>
      <c r="I192" s="19"/>
      <c r="J192" s="19"/>
      <c r="K192" s="19"/>
      <c r="L192" s="19"/>
      <c r="M192" s="19"/>
      <c r="N192" s="19"/>
    </row>
    <row r="193" spans="1:14">
      <c r="A193" s="27">
        <v>21</v>
      </c>
      <c r="B193" s="27">
        <v>20</v>
      </c>
      <c r="C193" s="19"/>
      <c r="D193" s="96">
        <v>82.089552238805993</v>
      </c>
      <c r="E193" s="9" t="str">
        <f t="shared" si="2"/>
        <v>Non-toxic</v>
      </c>
      <c r="F193" s="57"/>
      <c r="G193" s="57"/>
      <c r="H193" s="19"/>
      <c r="I193" s="19"/>
      <c r="J193" s="19"/>
      <c r="K193" s="19"/>
      <c r="L193" s="19"/>
      <c r="M193" s="19"/>
      <c r="N193" s="19"/>
    </row>
    <row r="194" spans="1:14">
      <c r="A194" s="41">
        <v>22</v>
      </c>
      <c r="B194" s="41">
        <v>1</v>
      </c>
      <c r="C194" s="18"/>
      <c r="D194" s="59">
        <v>13</v>
      </c>
      <c r="E194" s="13" t="str">
        <f t="shared" si="2"/>
        <v>Toxic</v>
      </c>
      <c r="F194" s="58"/>
      <c r="G194" s="58"/>
      <c r="H194" s="18"/>
      <c r="I194" s="18"/>
      <c r="J194" s="18"/>
      <c r="K194" s="18"/>
      <c r="L194" s="18"/>
      <c r="M194" s="18"/>
      <c r="N194" s="18"/>
    </row>
    <row r="195" spans="1:14">
      <c r="A195" s="27">
        <v>22</v>
      </c>
      <c r="B195" s="27">
        <v>2</v>
      </c>
      <c r="C195" s="19"/>
      <c r="D195" s="59">
        <v>26</v>
      </c>
      <c r="E195" s="9" t="str">
        <f t="shared" ref="E195:E258" si="3">IF(D195="","",IF(D195&lt;70,"Toxic","Non-toxic"))</f>
        <v>Toxic</v>
      </c>
      <c r="F195" s="55"/>
      <c r="G195" s="55"/>
      <c r="H195" s="19"/>
      <c r="I195" s="19"/>
      <c r="J195" s="19"/>
      <c r="K195" s="19"/>
      <c r="L195" s="19"/>
      <c r="M195" s="19"/>
      <c r="N195" s="19"/>
    </row>
    <row r="196" spans="1:14">
      <c r="A196" s="27">
        <v>22</v>
      </c>
      <c r="B196" s="27">
        <v>3</v>
      </c>
      <c r="C196" s="19"/>
      <c r="D196" s="59">
        <v>41</v>
      </c>
      <c r="E196" s="9" t="str">
        <f t="shared" si="3"/>
        <v>Toxic</v>
      </c>
      <c r="F196" s="55"/>
      <c r="G196" s="55"/>
      <c r="H196" s="19"/>
      <c r="I196" s="19"/>
      <c r="J196" s="19"/>
      <c r="K196" s="19"/>
      <c r="L196" s="19"/>
      <c r="M196" s="19"/>
      <c r="N196" s="19"/>
    </row>
    <row r="197" spans="1:14">
      <c r="A197" s="27">
        <v>22</v>
      </c>
      <c r="B197" s="27">
        <v>4</v>
      </c>
      <c r="C197" s="19"/>
      <c r="D197" s="59">
        <v>48</v>
      </c>
      <c r="E197" s="9" t="str">
        <f t="shared" si="3"/>
        <v>Toxic</v>
      </c>
      <c r="F197" s="55"/>
      <c r="G197" s="55"/>
      <c r="H197" s="19"/>
      <c r="I197" s="19"/>
      <c r="J197" s="19"/>
      <c r="K197" s="19"/>
      <c r="L197" s="19"/>
      <c r="M197" s="19"/>
      <c r="N197" s="19"/>
    </row>
    <row r="198" spans="1:14">
      <c r="A198" s="27">
        <v>22</v>
      </c>
      <c r="B198" s="27">
        <v>5</v>
      </c>
      <c r="C198" s="19"/>
      <c r="D198" s="59">
        <v>60</v>
      </c>
      <c r="E198" s="9" t="str">
        <f t="shared" si="3"/>
        <v>Toxic</v>
      </c>
      <c r="F198" s="55"/>
      <c r="G198" s="55"/>
      <c r="H198" s="19"/>
      <c r="I198" s="19"/>
      <c r="J198" s="19"/>
      <c r="K198" s="19"/>
      <c r="L198" s="19"/>
      <c r="M198" s="19"/>
      <c r="N198" s="19"/>
    </row>
    <row r="199" spans="1:14">
      <c r="A199" s="27">
        <v>22</v>
      </c>
      <c r="B199" s="27">
        <v>6</v>
      </c>
      <c r="C199" s="19"/>
      <c r="D199" s="59">
        <v>80</v>
      </c>
      <c r="E199" s="9" t="str">
        <f t="shared" si="3"/>
        <v>Non-toxic</v>
      </c>
      <c r="F199" s="55"/>
      <c r="G199" s="55"/>
      <c r="H199" s="19"/>
      <c r="I199" s="19"/>
      <c r="J199" s="19"/>
      <c r="K199" s="19"/>
      <c r="L199" s="19"/>
      <c r="M199" s="19"/>
      <c r="N199" s="19"/>
    </row>
    <row r="200" spans="1:14">
      <c r="A200" s="27">
        <v>22</v>
      </c>
      <c r="B200" s="27">
        <v>7</v>
      </c>
      <c r="C200" s="19"/>
      <c r="D200" s="59">
        <v>83</v>
      </c>
      <c r="E200" s="9" t="str">
        <f t="shared" si="3"/>
        <v>Non-toxic</v>
      </c>
      <c r="F200" s="55"/>
      <c r="G200" s="55"/>
      <c r="H200" s="19"/>
      <c r="I200" s="19"/>
      <c r="J200" s="19"/>
      <c r="K200" s="19"/>
      <c r="L200" s="19"/>
      <c r="M200" s="19"/>
      <c r="N200" s="19"/>
    </row>
    <row r="201" spans="1:14">
      <c r="A201" s="27">
        <v>22</v>
      </c>
      <c r="B201" s="27">
        <v>8</v>
      </c>
      <c r="C201" s="19"/>
      <c r="D201" s="59">
        <v>84</v>
      </c>
      <c r="E201" s="9" t="str">
        <f t="shared" si="3"/>
        <v>Non-toxic</v>
      </c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1:14">
      <c r="A202" s="27">
        <v>22</v>
      </c>
      <c r="B202" s="27">
        <v>9</v>
      </c>
      <c r="C202" s="19"/>
      <c r="D202" s="19">
        <v>13</v>
      </c>
      <c r="E202" s="9" t="str">
        <f t="shared" si="3"/>
        <v>Toxic</v>
      </c>
      <c r="F202" s="19"/>
      <c r="G202" s="19"/>
      <c r="H202" s="19"/>
      <c r="I202" s="19"/>
      <c r="J202" s="19"/>
      <c r="K202" s="19"/>
      <c r="L202" s="19"/>
      <c r="M202" s="19"/>
      <c r="N202" s="19"/>
    </row>
    <row r="203" spans="1:14">
      <c r="A203" s="27">
        <v>22</v>
      </c>
      <c r="B203" s="27">
        <v>10</v>
      </c>
      <c r="C203" s="19"/>
      <c r="D203" s="19">
        <v>23</v>
      </c>
      <c r="E203" s="9" t="str">
        <f t="shared" si="3"/>
        <v>Toxic</v>
      </c>
      <c r="F203" s="19"/>
      <c r="G203" s="19"/>
      <c r="H203" s="19"/>
      <c r="I203" s="19"/>
      <c r="J203" s="19"/>
      <c r="K203" s="19"/>
      <c r="L203" s="19"/>
      <c r="M203" s="19"/>
      <c r="N203" s="19"/>
    </row>
    <row r="204" spans="1:14">
      <c r="A204" s="27">
        <v>22</v>
      </c>
      <c r="B204" s="27">
        <v>11</v>
      </c>
      <c r="C204" s="19"/>
      <c r="D204" s="19">
        <v>36</v>
      </c>
      <c r="E204" s="9" t="str">
        <f t="shared" si="3"/>
        <v>Toxic</v>
      </c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1:14">
      <c r="A205" s="27">
        <v>22</v>
      </c>
      <c r="B205" s="27">
        <v>12</v>
      </c>
      <c r="C205" s="19"/>
      <c r="D205" s="19">
        <v>41</v>
      </c>
      <c r="E205" s="9" t="str">
        <f t="shared" si="3"/>
        <v>Toxic</v>
      </c>
      <c r="F205" s="19"/>
      <c r="G205" s="19"/>
      <c r="H205" s="19"/>
      <c r="I205" s="19"/>
      <c r="J205" s="19"/>
      <c r="K205" s="19"/>
      <c r="L205" s="19"/>
      <c r="M205" s="19"/>
      <c r="N205" s="19"/>
    </row>
    <row r="206" spans="1:14">
      <c r="A206" s="27">
        <v>22</v>
      </c>
      <c r="B206" s="27">
        <v>13</v>
      </c>
      <c r="C206" s="19"/>
      <c r="D206" s="19">
        <v>53</v>
      </c>
      <c r="E206" s="9" t="str">
        <f t="shared" si="3"/>
        <v>Toxic</v>
      </c>
      <c r="F206" s="19"/>
      <c r="G206" s="19"/>
      <c r="H206" s="19"/>
      <c r="I206" s="19"/>
      <c r="J206" s="19"/>
      <c r="K206" s="19"/>
      <c r="L206" s="19"/>
      <c r="M206" s="19"/>
      <c r="N206" s="19"/>
    </row>
    <row r="207" spans="1:14">
      <c r="A207" s="27">
        <v>22</v>
      </c>
      <c r="B207" s="27">
        <v>14</v>
      </c>
      <c r="C207" s="19"/>
      <c r="D207" s="19">
        <v>64</v>
      </c>
      <c r="E207" s="9" t="str">
        <f t="shared" si="3"/>
        <v>Toxic</v>
      </c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1:14">
      <c r="A208" s="27">
        <v>22</v>
      </c>
      <c r="B208" s="27">
        <v>15</v>
      </c>
      <c r="C208" s="19"/>
      <c r="D208" s="19">
        <v>70</v>
      </c>
      <c r="E208" s="9" t="str">
        <f t="shared" si="3"/>
        <v>Non-toxic</v>
      </c>
      <c r="F208" s="19"/>
      <c r="G208" s="19"/>
      <c r="H208" s="19"/>
      <c r="I208" s="19"/>
      <c r="J208" s="19"/>
      <c r="K208" s="19"/>
      <c r="L208" s="19"/>
      <c r="M208" s="19"/>
      <c r="N208" s="19"/>
    </row>
    <row r="209" spans="1:14">
      <c r="A209" s="27">
        <v>22</v>
      </c>
      <c r="B209" s="27">
        <v>16</v>
      </c>
      <c r="C209" s="19"/>
      <c r="D209" s="19">
        <v>78</v>
      </c>
      <c r="E209" s="9" t="str">
        <f t="shared" si="3"/>
        <v>Non-toxic</v>
      </c>
      <c r="F209" s="19"/>
      <c r="G209" s="19"/>
      <c r="H209" s="19"/>
      <c r="I209" s="19"/>
      <c r="J209" s="19"/>
      <c r="K209" s="19"/>
      <c r="L209" s="19"/>
      <c r="M209" s="19"/>
      <c r="N209" s="19"/>
    </row>
    <row r="210" spans="1:14">
      <c r="A210" s="27">
        <v>22</v>
      </c>
      <c r="B210" s="27">
        <v>17</v>
      </c>
      <c r="C210" s="19"/>
      <c r="D210" s="19">
        <v>86</v>
      </c>
      <c r="E210" s="9" t="str">
        <f t="shared" si="3"/>
        <v>Non-toxic</v>
      </c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1:14">
      <c r="A211" s="27">
        <v>22</v>
      </c>
      <c r="B211" s="27">
        <v>18</v>
      </c>
      <c r="C211" s="19"/>
      <c r="D211" s="19">
        <v>88</v>
      </c>
      <c r="E211" s="9" t="str">
        <f t="shared" si="3"/>
        <v>Non-toxic</v>
      </c>
      <c r="F211" s="19"/>
      <c r="G211" s="19"/>
      <c r="H211" s="19"/>
      <c r="I211" s="19"/>
      <c r="J211" s="19"/>
      <c r="K211" s="19"/>
      <c r="L211" s="19"/>
      <c r="M211" s="19"/>
      <c r="N211" s="19"/>
    </row>
    <row r="212" spans="1:14">
      <c r="A212" s="41">
        <v>23</v>
      </c>
      <c r="B212" s="41">
        <v>1</v>
      </c>
      <c r="C212" s="18"/>
      <c r="D212" s="18">
        <v>75.349999999999994</v>
      </c>
      <c r="E212" s="13" t="str">
        <f t="shared" si="3"/>
        <v>Non-toxic</v>
      </c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>
      <c r="A213" s="27">
        <v>23</v>
      </c>
      <c r="B213" s="27">
        <v>2</v>
      </c>
      <c r="C213" s="19"/>
      <c r="D213" s="19">
        <v>93.18</v>
      </c>
      <c r="E213" s="9" t="str">
        <f t="shared" si="3"/>
        <v>Non-toxic</v>
      </c>
      <c r="F213" s="19"/>
      <c r="G213" s="19"/>
      <c r="H213" s="19"/>
      <c r="I213" s="19"/>
      <c r="J213" s="19"/>
      <c r="K213" s="19"/>
      <c r="L213" s="19"/>
      <c r="M213" s="19"/>
      <c r="N213" s="19"/>
    </row>
    <row r="214" spans="1:14">
      <c r="A214" s="27">
        <v>23</v>
      </c>
      <c r="B214" s="27">
        <v>3</v>
      </c>
      <c r="C214" s="19"/>
      <c r="D214" s="19">
        <v>67.13</v>
      </c>
      <c r="E214" s="9" t="str">
        <f t="shared" si="3"/>
        <v>Toxic</v>
      </c>
      <c r="F214" s="19"/>
      <c r="G214" s="19"/>
      <c r="H214" s="19"/>
      <c r="I214" s="19"/>
      <c r="J214" s="19"/>
      <c r="K214" s="19"/>
      <c r="L214" s="19"/>
      <c r="M214" s="19"/>
      <c r="N214" s="19"/>
    </row>
    <row r="215" spans="1:14">
      <c r="A215" s="27">
        <v>23</v>
      </c>
      <c r="B215" s="27">
        <v>4</v>
      </c>
      <c r="C215" s="19"/>
      <c r="D215" s="19">
        <v>79.56</v>
      </c>
      <c r="E215" s="9" t="str">
        <f t="shared" si="3"/>
        <v>Non-toxic</v>
      </c>
      <c r="F215" s="19"/>
      <c r="G215" s="19"/>
      <c r="H215" s="19"/>
      <c r="I215" s="19"/>
      <c r="J215" s="19"/>
      <c r="K215" s="19"/>
      <c r="L215" s="19"/>
      <c r="M215" s="19"/>
      <c r="N215" s="19"/>
    </row>
    <row r="216" spans="1:14">
      <c r="A216" s="41">
        <v>24</v>
      </c>
      <c r="B216" s="41">
        <v>1</v>
      </c>
      <c r="C216" s="18"/>
      <c r="D216" s="18">
        <v>114.38</v>
      </c>
      <c r="E216" s="13" t="str">
        <f t="shared" si="3"/>
        <v>Non-toxic</v>
      </c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>
      <c r="A217" s="27">
        <v>24</v>
      </c>
      <c r="B217" s="27">
        <v>2</v>
      </c>
      <c r="C217" s="19"/>
      <c r="D217" s="19">
        <v>95.25</v>
      </c>
      <c r="E217" s="9" t="str">
        <f t="shared" si="3"/>
        <v>Non-toxic</v>
      </c>
      <c r="F217" s="19"/>
      <c r="G217" s="19"/>
      <c r="H217" s="19"/>
      <c r="I217" s="19"/>
      <c r="J217" s="19"/>
      <c r="K217" s="19"/>
      <c r="L217" s="19"/>
      <c r="M217" s="19"/>
      <c r="N217" s="19"/>
    </row>
    <row r="218" spans="1:14">
      <c r="A218" s="27">
        <v>24</v>
      </c>
      <c r="B218" s="27">
        <v>3</v>
      </c>
      <c r="C218" s="19"/>
      <c r="D218" s="19">
        <v>95.45</v>
      </c>
      <c r="E218" s="9" t="str">
        <f t="shared" si="3"/>
        <v>Non-toxic</v>
      </c>
      <c r="F218" s="19"/>
      <c r="G218" s="19"/>
      <c r="H218" s="19"/>
      <c r="I218" s="19"/>
      <c r="J218" s="19"/>
      <c r="K218" s="19"/>
      <c r="L218" s="19"/>
      <c r="M218" s="19"/>
      <c r="N218" s="19"/>
    </row>
    <row r="219" spans="1:14">
      <c r="A219" s="27">
        <v>24</v>
      </c>
      <c r="B219" s="27">
        <v>4</v>
      </c>
      <c r="C219" s="19"/>
      <c r="D219" s="19">
        <v>88.38</v>
      </c>
      <c r="E219" s="9" t="str">
        <f t="shared" si="3"/>
        <v>Non-toxic</v>
      </c>
      <c r="F219" s="19"/>
      <c r="G219" s="19"/>
      <c r="H219" s="19"/>
      <c r="I219" s="19"/>
      <c r="J219" s="19"/>
      <c r="K219" s="19"/>
      <c r="L219" s="19"/>
      <c r="M219" s="19"/>
      <c r="N219" s="19"/>
    </row>
    <row r="220" spans="1:14">
      <c r="A220" s="18">
        <v>25</v>
      </c>
      <c r="B220" s="18">
        <v>1</v>
      </c>
      <c r="C220" s="18">
        <v>19080</v>
      </c>
      <c r="D220" s="18"/>
      <c r="E220" s="13" t="str">
        <f t="shared" si="3"/>
        <v/>
      </c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>
      <c r="A221" s="19">
        <v>25</v>
      </c>
      <c r="B221" s="19">
        <v>2</v>
      </c>
      <c r="C221" s="19">
        <v>23790</v>
      </c>
      <c r="D221" s="19"/>
      <c r="E221" s="9" t="str">
        <f t="shared" si="3"/>
        <v/>
      </c>
      <c r="F221" s="19"/>
      <c r="G221" s="19"/>
      <c r="H221" s="19"/>
      <c r="I221" s="19"/>
      <c r="J221" s="19"/>
      <c r="K221" s="19"/>
      <c r="L221" s="19"/>
      <c r="M221" s="19"/>
      <c r="N221" s="19"/>
    </row>
    <row r="222" spans="1:14">
      <c r="A222" s="19">
        <v>25</v>
      </c>
      <c r="B222" s="19">
        <v>3</v>
      </c>
      <c r="C222" s="19">
        <v>18570</v>
      </c>
      <c r="D222" s="19"/>
      <c r="E222" s="9" t="str">
        <f t="shared" si="3"/>
        <v/>
      </c>
      <c r="F222" s="19"/>
      <c r="G222" s="19"/>
      <c r="H222" s="19"/>
      <c r="I222" s="19"/>
      <c r="J222" s="19"/>
      <c r="K222" s="19"/>
      <c r="L222" s="19"/>
      <c r="M222" s="19"/>
      <c r="N222" s="19"/>
    </row>
    <row r="223" spans="1:14">
      <c r="A223" s="19">
        <v>25</v>
      </c>
      <c r="B223" s="19">
        <v>4</v>
      </c>
      <c r="C223" s="19">
        <v>17959</v>
      </c>
      <c r="D223" s="19"/>
      <c r="E223" s="9" t="str">
        <f t="shared" si="3"/>
        <v/>
      </c>
      <c r="F223" s="19"/>
      <c r="G223" s="19"/>
      <c r="H223" s="19"/>
      <c r="I223" s="19"/>
      <c r="J223" s="19"/>
      <c r="K223" s="19"/>
      <c r="L223" s="19"/>
      <c r="M223" s="19"/>
      <c r="N223" s="19"/>
    </row>
    <row r="224" spans="1:14">
      <c r="A224" s="19">
        <v>25</v>
      </c>
      <c r="B224" s="19">
        <v>5</v>
      </c>
      <c r="C224" s="19">
        <v>17760</v>
      </c>
      <c r="D224" s="19"/>
      <c r="E224" s="9" t="str">
        <f t="shared" si="3"/>
        <v/>
      </c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1:14">
      <c r="A225" s="19">
        <v>25</v>
      </c>
      <c r="B225" s="19">
        <v>6</v>
      </c>
      <c r="C225" s="19">
        <v>16120</v>
      </c>
      <c r="D225" s="19"/>
      <c r="E225" s="9" t="str">
        <f t="shared" si="3"/>
        <v/>
      </c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1:14" ht="15.75">
      <c r="A226" s="41">
        <v>26</v>
      </c>
      <c r="B226" s="41">
        <v>1</v>
      </c>
      <c r="C226" s="18"/>
      <c r="D226" s="97">
        <v>99</v>
      </c>
      <c r="E226" s="13" t="str">
        <f t="shared" si="3"/>
        <v>Non-toxic</v>
      </c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ht="15.75">
      <c r="A227" s="27">
        <v>26</v>
      </c>
      <c r="B227" s="27">
        <v>2</v>
      </c>
      <c r="C227" s="19"/>
      <c r="D227" s="64">
        <v>113</v>
      </c>
      <c r="E227" s="9" t="str">
        <f t="shared" si="3"/>
        <v>Non-toxic</v>
      </c>
      <c r="F227" s="19"/>
      <c r="G227" s="19"/>
      <c r="H227" s="19"/>
      <c r="I227" s="19"/>
      <c r="J227" s="19"/>
      <c r="K227" s="19"/>
      <c r="L227" s="19"/>
      <c r="M227" s="19"/>
      <c r="N227" s="19"/>
    </row>
    <row r="228" spans="1:14" ht="15.75">
      <c r="A228" s="27">
        <v>26</v>
      </c>
      <c r="B228" s="27">
        <v>3</v>
      </c>
      <c r="C228" s="19"/>
      <c r="D228" s="64">
        <v>107</v>
      </c>
      <c r="E228" s="9" t="str">
        <f t="shared" si="3"/>
        <v>Non-toxic</v>
      </c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1:14" ht="15.75">
      <c r="A229" s="27">
        <v>26</v>
      </c>
      <c r="B229" s="27">
        <v>4</v>
      </c>
      <c r="C229" s="19"/>
      <c r="D229" s="64">
        <v>122</v>
      </c>
      <c r="E229" s="9" t="str">
        <f t="shared" si="3"/>
        <v>Non-toxic</v>
      </c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1:14" ht="15.75">
      <c r="A230" s="27">
        <v>26</v>
      </c>
      <c r="B230" s="27">
        <v>5</v>
      </c>
      <c r="C230" s="19"/>
      <c r="D230" s="64">
        <v>132</v>
      </c>
      <c r="E230" s="9" t="str">
        <f t="shared" si="3"/>
        <v>Non-toxic</v>
      </c>
      <c r="F230" s="19"/>
      <c r="G230" s="19"/>
      <c r="H230" s="19"/>
      <c r="I230" s="19"/>
      <c r="J230" s="19"/>
      <c r="K230" s="19"/>
      <c r="L230" s="19"/>
      <c r="M230" s="19"/>
      <c r="N230" s="19"/>
    </row>
    <row r="231" spans="1:14" ht="15.75">
      <c r="A231" s="27">
        <v>26</v>
      </c>
      <c r="B231" s="27">
        <v>6</v>
      </c>
      <c r="C231" s="19"/>
      <c r="D231" s="65">
        <v>129</v>
      </c>
      <c r="E231" s="9" t="str">
        <f t="shared" si="3"/>
        <v>Non-toxic</v>
      </c>
      <c r="F231" s="19"/>
      <c r="G231" s="19"/>
      <c r="H231" s="19"/>
      <c r="I231" s="19"/>
      <c r="J231" s="19"/>
      <c r="K231" s="19"/>
      <c r="L231" s="19"/>
      <c r="M231" s="19"/>
      <c r="N231" s="19"/>
    </row>
    <row r="232" spans="1:14" ht="15.75">
      <c r="A232" s="27">
        <v>26</v>
      </c>
      <c r="B232" s="27">
        <v>7</v>
      </c>
      <c r="C232" s="19"/>
      <c r="D232" s="64">
        <v>90</v>
      </c>
      <c r="E232" s="9" t="str">
        <f t="shared" si="3"/>
        <v>Non-toxic</v>
      </c>
      <c r="F232" s="19"/>
      <c r="G232" s="19"/>
      <c r="H232" s="19"/>
      <c r="I232" s="19"/>
      <c r="J232" s="19"/>
      <c r="K232" s="19"/>
      <c r="L232" s="19"/>
      <c r="M232" s="19"/>
      <c r="N232" s="19"/>
    </row>
    <row r="233" spans="1:14" ht="15.75">
      <c r="A233" s="27">
        <v>26</v>
      </c>
      <c r="B233" s="27">
        <v>8</v>
      </c>
      <c r="C233" s="19"/>
      <c r="D233" s="64">
        <v>104</v>
      </c>
      <c r="E233" s="9" t="str">
        <f t="shared" si="3"/>
        <v>Non-toxic</v>
      </c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1:14" ht="15.75">
      <c r="A234" s="27">
        <v>26</v>
      </c>
      <c r="B234" s="27">
        <v>9</v>
      </c>
      <c r="C234" s="19"/>
      <c r="D234" s="64">
        <v>115</v>
      </c>
      <c r="E234" s="9" t="str">
        <f t="shared" si="3"/>
        <v>Non-toxic</v>
      </c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1:14" ht="15.75">
      <c r="A235" s="27">
        <v>26</v>
      </c>
      <c r="B235" s="27">
        <v>10</v>
      </c>
      <c r="C235" s="19"/>
      <c r="D235" s="64">
        <v>119</v>
      </c>
      <c r="E235" s="9" t="str">
        <f t="shared" si="3"/>
        <v>Non-toxic</v>
      </c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1:14" ht="15.75">
      <c r="A236" s="27">
        <v>26</v>
      </c>
      <c r="B236" s="27">
        <v>11</v>
      </c>
      <c r="C236" s="19"/>
      <c r="D236" s="64">
        <v>136</v>
      </c>
      <c r="E236" s="9" t="str">
        <f t="shared" si="3"/>
        <v>Non-toxic</v>
      </c>
      <c r="F236" s="19"/>
      <c r="G236" s="19"/>
      <c r="H236" s="19"/>
      <c r="I236" s="63"/>
      <c r="J236" s="19"/>
      <c r="K236" s="19"/>
      <c r="L236" s="19"/>
      <c r="M236" s="19"/>
      <c r="N236" s="19"/>
    </row>
    <row r="237" spans="1:14" ht="15.75">
      <c r="A237" s="27">
        <v>26</v>
      </c>
      <c r="B237" s="27">
        <v>12</v>
      </c>
      <c r="C237" s="19"/>
      <c r="D237" s="64">
        <v>130</v>
      </c>
      <c r="E237" s="9" t="str">
        <f t="shared" si="3"/>
        <v>Non-toxic</v>
      </c>
      <c r="F237" s="19"/>
      <c r="G237" s="19"/>
      <c r="H237" s="19"/>
      <c r="I237" s="19"/>
      <c r="J237" s="19"/>
      <c r="K237" s="19"/>
      <c r="L237" s="19"/>
      <c r="M237" s="19"/>
      <c r="N237" s="19"/>
    </row>
    <row r="238" spans="1:14" ht="15.75">
      <c r="A238" s="27">
        <v>26</v>
      </c>
      <c r="B238" s="27">
        <v>13</v>
      </c>
      <c r="C238" s="19"/>
      <c r="D238" s="64">
        <v>73</v>
      </c>
      <c r="E238" s="9" t="str">
        <f t="shared" si="3"/>
        <v>Non-toxic</v>
      </c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1:14" ht="15.75">
      <c r="A239" s="27">
        <v>26</v>
      </c>
      <c r="B239" s="27">
        <v>14</v>
      </c>
      <c r="C239" s="19"/>
      <c r="D239" s="64">
        <v>109</v>
      </c>
      <c r="E239" s="9" t="str">
        <f t="shared" si="3"/>
        <v>Non-toxic</v>
      </c>
      <c r="F239" s="19"/>
      <c r="G239" s="19"/>
      <c r="H239" s="19"/>
      <c r="I239" s="19"/>
      <c r="J239" s="19"/>
      <c r="K239" s="19"/>
      <c r="L239" s="19"/>
      <c r="M239" s="19"/>
      <c r="N239" s="19"/>
    </row>
    <row r="240" spans="1:14" ht="15.75">
      <c r="A240" s="27">
        <v>26</v>
      </c>
      <c r="B240" s="27">
        <v>15</v>
      </c>
      <c r="C240" s="19"/>
      <c r="D240" s="64">
        <v>92</v>
      </c>
      <c r="E240" s="9" t="str">
        <f t="shared" si="3"/>
        <v>Non-toxic</v>
      </c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1:14" ht="15.75">
      <c r="A241" s="27">
        <v>26</v>
      </c>
      <c r="B241" s="27">
        <v>16</v>
      </c>
      <c r="C241" s="19"/>
      <c r="D241" s="64">
        <v>113</v>
      </c>
      <c r="E241" s="9" t="str">
        <f t="shared" si="3"/>
        <v>Non-toxic</v>
      </c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1:14" ht="15.75">
      <c r="A242" s="27">
        <v>26</v>
      </c>
      <c r="B242" s="27">
        <v>17</v>
      </c>
      <c r="C242" s="19"/>
      <c r="D242" s="64">
        <v>111</v>
      </c>
      <c r="E242" s="9" t="str">
        <f t="shared" si="3"/>
        <v>Non-toxic</v>
      </c>
      <c r="F242" s="19"/>
      <c r="G242" s="19"/>
      <c r="H242" s="19"/>
      <c r="I242" s="19"/>
      <c r="J242" s="19"/>
      <c r="K242" s="19"/>
      <c r="L242" s="19"/>
      <c r="M242" s="19"/>
      <c r="N242" s="19"/>
    </row>
    <row r="243" spans="1:14" ht="15.75">
      <c r="A243" s="27">
        <v>26</v>
      </c>
      <c r="B243" s="27">
        <v>18</v>
      </c>
      <c r="C243" s="19"/>
      <c r="D243" s="64">
        <v>116</v>
      </c>
      <c r="E243" s="9" t="str">
        <f t="shared" si="3"/>
        <v>Non-toxic</v>
      </c>
      <c r="F243" s="19"/>
      <c r="G243" s="19"/>
      <c r="H243" s="19"/>
      <c r="I243" s="19"/>
      <c r="J243" s="19"/>
      <c r="K243" s="19"/>
      <c r="L243" s="19"/>
      <c r="M243" s="19"/>
      <c r="N243" s="19"/>
    </row>
    <row r="244" spans="1:14" ht="15.75">
      <c r="A244" s="27">
        <v>26</v>
      </c>
      <c r="B244" s="27">
        <v>19</v>
      </c>
      <c r="C244" s="19"/>
      <c r="D244" s="64">
        <v>100</v>
      </c>
      <c r="E244" s="9" t="str">
        <f t="shared" si="3"/>
        <v>Non-toxic</v>
      </c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1:14" ht="15.75">
      <c r="A245" s="27">
        <v>26</v>
      </c>
      <c r="B245" s="27">
        <v>20</v>
      </c>
      <c r="C245" s="19"/>
      <c r="D245" s="64">
        <v>110</v>
      </c>
      <c r="E245" s="9" t="str">
        <f t="shared" si="3"/>
        <v>Non-toxic</v>
      </c>
      <c r="F245" s="19"/>
      <c r="G245" s="19"/>
      <c r="H245" s="19"/>
      <c r="I245" s="19"/>
      <c r="J245" s="19"/>
      <c r="K245" s="19"/>
      <c r="L245" s="19"/>
      <c r="M245" s="19"/>
      <c r="N245" s="19"/>
    </row>
    <row r="246" spans="1:14" ht="15.75">
      <c r="A246" s="27">
        <v>26</v>
      </c>
      <c r="B246" s="27">
        <v>21</v>
      </c>
      <c r="C246" s="19"/>
      <c r="D246" s="64">
        <v>105</v>
      </c>
      <c r="E246" s="9" t="str">
        <f t="shared" si="3"/>
        <v>Non-toxic</v>
      </c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1:14" ht="15.75">
      <c r="A247" s="27">
        <v>26</v>
      </c>
      <c r="B247" s="27">
        <v>22</v>
      </c>
      <c r="C247" s="19"/>
      <c r="D247" s="64">
        <v>126</v>
      </c>
      <c r="E247" s="9" t="str">
        <f t="shared" si="3"/>
        <v>Non-toxic</v>
      </c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1:14" ht="15.75">
      <c r="A248" s="27">
        <v>26</v>
      </c>
      <c r="B248" s="27">
        <v>23</v>
      </c>
      <c r="C248" s="19"/>
      <c r="D248" s="64">
        <v>112</v>
      </c>
      <c r="E248" s="9" t="str">
        <f t="shared" si="3"/>
        <v>Non-toxic</v>
      </c>
      <c r="F248" s="19"/>
      <c r="G248" s="19"/>
      <c r="H248" s="19"/>
      <c r="I248" s="19"/>
      <c r="J248" s="19"/>
      <c r="K248" s="19"/>
      <c r="L248" s="19"/>
      <c r="M248" s="19"/>
      <c r="N248" s="19"/>
    </row>
    <row r="249" spans="1:14" ht="15.75">
      <c r="A249" s="27">
        <v>26</v>
      </c>
      <c r="B249" s="27">
        <v>24</v>
      </c>
      <c r="C249" s="19"/>
      <c r="D249" s="64">
        <v>106</v>
      </c>
      <c r="E249" s="9" t="str">
        <f t="shared" si="3"/>
        <v>Non-toxic</v>
      </c>
      <c r="F249" s="19"/>
      <c r="G249" s="19"/>
      <c r="H249" s="19"/>
      <c r="I249" s="19"/>
      <c r="J249" s="19"/>
      <c r="K249" s="19"/>
      <c r="L249" s="19"/>
      <c r="M249" s="19"/>
      <c r="N249" s="19"/>
    </row>
    <row r="250" spans="1:14" ht="15.75">
      <c r="A250" s="27">
        <v>26</v>
      </c>
      <c r="B250" s="27">
        <v>25</v>
      </c>
      <c r="C250" s="19"/>
      <c r="D250" s="64">
        <v>102</v>
      </c>
      <c r="E250" s="9" t="str">
        <f t="shared" si="3"/>
        <v>Non-toxic</v>
      </c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1:14" ht="15.75">
      <c r="A251" s="27">
        <v>26</v>
      </c>
      <c r="B251" s="27">
        <v>26</v>
      </c>
      <c r="C251" s="19"/>
      <c r="D251" s="64">
        <v>113</v>
      </c>
      <c r="E251" s="9" t="str">
        <f t="shared" si="3"/>
        <v>Non-toxic</v>
      </c>
      <c r="F251" s="19"/>
      <c r="G251" s="19"/>
      <c r="H251" s="19"/>
      <c r="I251" s="19"/>
      <c r="J251" s="19"/>
      <c r="K251" s="19"/>
      <c r="L251" s="19"/>
      <c r="M251" s="19"/>
      <c r="N251" s="19"/>
    </row>
    <row r="252" spans="1:14" ht="15.75">
      <c r="A252" s="27">
        <v>26</v>
      </c>
      <c r="B252" s="27">
        <v>27</v>
      </c>
      <c r="C252" s="19"/>
      <c r="D252" s="64">
        <v>117</v>
      </c>
      <c r="E252" s="9" t="str">
        <f t="shared" si="3"/>
        <v>Non-toxic</v>
      </c>
      <c r="F252" s="19"/>
      <c r="G252" s="19"/>
      <c r="H252" s="19"/>
      <c r="I252" s="19"/>
      <c r="J252" s="19"/>
      <c r="K252" s="19"/>
      <c r="L252" s="19"/>
      <c r="M252" s="19"/>
      <c r="N252" s="19"/>
    </row>
    <row r="253" spans="1:14" ht="15.75">
      <c r="A253" s="27">
        <v>26</v>
      </c>
      <c r="B253" s="27">
        <v>28</v>
      </c>
      <c r="C253" s="19"/>
      <c r="D253" s="64">
        <v>131</v>
      </c>
      <c r="E253" s="9" t="str">
        <f t="shared" si="3"/>
        <v>Non-toxic</v>
      </c>
      <c r="F253" s="19"/>
      <c r="G253" s="19"/>
      <c r="H253" s="19"/>
      <c r="I253" s="19"/>
      <c r="J253" s="19"/>
      <c r="K253" s="19"/>
      <c r="L253" s="19"/>
      <c r="M253" s="19"/>
      <c r="N253" s="19"/>
    </row>
    <row r="254" spans="1:14" ht="15.75">
      <c r="A254" s="27">
        <v>26</v>
      </c>
      <c r="B254" s="27">
        <v>29</v>
      </c>
      <c r="C254" s="19"/>
      <c r="D254" s="64">
        <v>124</v>
      </c>
      <c r="E254" s="9" t="str">
        <f t="shared" si="3"/>
        <v>Non-toxic</v>
      </c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1:14" ht="15.75">
      <c r="A255" s="27">
        <v>26</v>
      </c>
      <c r="B255" s="27">
        <v>30</v>
      </c>
      <c r="C255" s="19"/>
      <c r="D255" s="66">
        <v>91</v>
      </c>
      <c r="E255" s="9" t="str">
        <f t="shared" si="3"/>
        <v>Non-toxic</v>
      </c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1:14">
      <c r="A256" s="18">
        <v>27</v>
      </c>
      <c r="B256" s="18">
        <v>1</v>
      </c>
      <c r="C256" s="18"/>
      <c r="D256" s="18">
        <v>92</v>
      </c>
      <c r="E256" s="13" t="str">
        <f t="shared" si="3"/>
        <v>Non-toxic</v>
      </c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>
      <c r="A257" s="19">
        <v>27</v>
      </c>
      <c r="B257" s="19">
        <v>2</v>
      </c>
      <c r="C257" s="19"/>
      <c r="D257" s="19">
        <v>100</v>
      </c>
      <c r="E257" s="9" t="str">
        <f t="shared" si="3"/>
        <v>Non-toxic</v>
      </c>
      <c r="F257" s="19"/>
      <c r="G257" s="19"/>
      <c r="H257" s="19"/>
      <c r="I257" s="19"/>
      <c r="J257" s="19"/>
      <c r="K257" s="19"/>
      <c r="L257" s="19"/>
      <c r="M257" s="19"/>
      <c r="N257" s="19"/>
    </row>
    <row r="258" spans="1:14">
      <c r="A258" s="19">
        <v>27</v>
      </c>
      <c r="B258" s="19">
        <v>3</v>
      </c>
      <c r="C258" s="19"/>
      <c r="D258" s="19">
        <v>82</v>
      </c>
      <c r="E258" s="9" t="str">
        <f t="shared" si="3"/>
        <v>Non-toxic</v>
      </c>
      <c r="F258" s="19"/>
      <c r="G258" s="19"/>
      <c r="H258" s="19"/>
      <c r="I258" s="19"/>
      <c r="J258" s="19"/>
      <c r="K258" s="19"/>
      <c r="L258" s="19"/>
      <c r="M258" s="19"/>
      <c r="N258" s="19"/>
    </row>
    <row r="259" spans="1:14">
      <c r="A259" s="27">
        <v>27</v>
      </c>
      <c r="B259" s="27">
        <v>4</v>
      </c>
      <c r="C259" s="19"/>
      <c r="D259" s="19">
        <v>84</v>
      </c>
      <c r="E259" s="9" t="str">
        <f t="shared" ref="E259:E322" si="4">IF(D259="","",IF(D259&lt;70,"Toxic","Non-toxic"))</f>
        <v>Non-toxic</v>
      </c>
      <c r="F259" s="19"/>
      <c r="G259" s="19"/>
      <c r="H259" s="19"/>
      <c r="I259" s="19"/>
      <c r="J259" s="19"/>
      <c r="K259" s="19"/>
      <c r="L259" s="19"/>
      <c r="M259" s="19"/>
      <c r="N259" s="19"/>
    </row>
    <row r="260" spans="1:14">
      <c r="A260" s="27">
        <v>27</v>
      </c>
      <c r="B260" s="27">
        <v>5</v>
      </c>
      <c r="C260" s="19"/>
      <c r="D260" s="19">
        <v>91</v>
      </c>
      <c r="E260" s="9" t="str">
        <f t="shared" si="4"/>
        <v>Non-toxic</v>
      </c>
      <c r="F260" s="19"/>
      <c r="G260" s="19"/>
      <c r="H260" s="19"/>
      <c r="I260" s="19"/>
      <c r="J260" s="19"/>
      <c r="K260" s="19"/>
      <c r="L260" s="19"/>
      <c r="M260" s="19"/>
      <c r="N260" s="19"/>
    </row>
    <row r="261" spans="1:14">
      <c r="A261" s="27">
        <v>27</v>
      </c>
      <c r="B261" s="27">
        <v>6</v>
      </c>
      <c r="C261" s="19"/>
      <c r="D261" s="19">
        <v>90</v>
      </c>
      <c r="E261" s="9" t="str">
        <f t="shared" si="4"/>
        <v>Non-toxic</v>
      </c>
      <c r="F261" s="19"/>
      <c r="G261" s="19"/>
      <c r="H261" s="19"/>
      <c r="I261" s="19"/>
      <c r="J261" s="19"/>
      <c r="K261" s="19"/>
      <c r="L261" s="19"/>
      <c r="M261" s="19"/>
      <c r="N261" s="19"/>
    </row>
    <row r="262" spans="1:14">
      <c r="A262" s="27">
        <v>27</v>
      </c>
      <c r="B262" s="27">
        <v>7</v>
      </c>
      <c r="C262" s="19"/>
      <c r="D262" s="19">
        <v>148</v>
      </c>
      <c r="E262" s="9" t="str">
        <f t="shared" si="4"/>
        <v>Non-toxic</v>
      </c>
      <c r="F262" s="19"/>
      <c r="G262" s="19"/>
      <c r="H262" s="19"/>
      <c r="I262" s="19"/>
      <c r="J262" s="19"/>
      <c r="K262" s="19"/>
      <c r="L262" s="19"/>
      <c r="M262" s="19"/>
      <c r="N262" s="19"/>
    </row>
    <row r="263" spans="1:14">
      <c r="A263" s="27">
        <v>27</v>
      </c>
      <c r="B263" s="27">
        <v>8</v>
      </c>
      <c r="C263" s="19"/>
      <c r="D263" s="19">
        <v>150</v>
      </c>
      <c r="E263" s="9" t="str">
        <f t="shared" si="4"/>
        <v>Non-toxic</v>
      </c>
      <c r="F263" s="19"/>
      <c r="G263" s="19"/>
      <c r="H263" s="19"/>
      <c r="I263" s="19"/>
      <c r="J263" s="19"/>
      <c r="K263" s="19"/>
      <c r="L263" s="19"/>
      <c r="M263" s="19"/>
      <c r="N263" s="19"/>
    </row>
    <row r="264" spans="1:14">
      <c r="A264" s="27">
        <v>27</v>
      </c>
      <c r="B264" s="27">
        <v>9</v>
      </c>
      <c r="C264" s="19"/>
      <c r="D264" s="19">
        <v>122</v>
      </c>
      <c r="E264" s="9" t="str">
        <f t="shared" si="4"/>
        <v>Non-toxic</v>
      </c>
      <c r="F264" s="19"/>
      <c r="G264" s="19"/>
      <c r="H264" s="19"/>
      <c r="I264" s="19"/>
      <c r="J264" s="19"/>
      <c r="K264" s="19"/>
      <c r="L264" s="19"/>
      <c r="M264" s="19"/>
      <c r="N264" s="19"/>
    </row>
    <row r="265" spans="1:14">
      <c r="A265" s="27">
        <v>27</v>
      </c>
      <c r="B265" s="27">
        <v>10</v>
      </c>
      <c r="C265" s="19"/>
      <c r="D265" s="19">
        <v>127</v>
      </c>
      <c r="E265" s="9" t="str">
        <f t="shared" si="4"/>
        <v>Non-toxic</v>
      </c>
      <c r="F265" s="19"/>
      <c r="G265" s="19"/>
      <c r="H265" s="19"/>
      <c r="I265" s="19"/>
      <c r="J265" s="19"/>
      <c r="K265" s="19"/>
      <c r="L265" s="19"/>
      <c r="M265" s="19"/>
      <c r="N265" s="19"/>
    </row>
    <row r="266" spans="1:14">
      <c r="A266" s="27">
        <v>27</v>
      </c>
      <c r="B266" s="27">
        <v>11</v>
      </c>
      <c r="C266" s="19"/>
      <c r="D266" s="19">
        <v>136</v>
      </c>
      <c r="E266" s="9" t="str">
        <f t="shared" si="4"/>
        <v>Non-toxic</v>
      </c>
      <c r="F266" s="19"/>
      <c r="G266" s="19"/>
      <c r="H266" s="19"/>
      <c r="I266" s="19"/>
      <c r="J266" s="19"/>
      <c r="K266" s="19"/>
      <c r="L266" s="19"/>
      <c r="M266" s="19"/>
      <c r="N266" s="19"/>
    </row>
    <row r="267" spans="1:14">
      <c r="A267" s="27">
        <v>27</v>
      </c>
      <c r="B267" s="27">
        <v>12</v>
      </c>
      <c r="C267" s="19"/>
      <c r="D267" s="19">
        <v>117</v>
      </c>
      <c r="E267" s="9" t="str">
        <f t="shared" si="4"/>
        <v>Non-toxic</v>
      </c>
      <c r="F267" s="19"/>
      <c r="G267" s="19"/>
      <c r="H267" s="19"/>
      <c r="I267" s="19"/>
      <c r="J267" s="19"/>
      <c r="K267" s="19"/>
      <c r="L267" s="19"/>
      <c r="M267" s="19"/>
      <c r="N267" s="19"/>
    </row>
    <row r="268" spans="1:14">
      <c r="A268" s="27">
        <v>27</v>
      </c>
      <c r="B268" s="27">
        <v>13</v>
      </c>
      <c r="C268" s="19"/>
      <c r="D268" s="19">
        <v>89</v>
      </c>
      <c r="E268" s="9" t="str">
        <f t="shared" si="4"/>
        <v>Non-toxic</v>
      </c>
      <c r="F268" s="19"/>
      <c r="G268" s="19"/>
      <c r="H268" s="19"/>
      <c r="I268" s="19"/>
      <c r="J268" s="19"/>
      <c r="K268" s="19"/>
      <c r="L268" s="19"/>
      <c r="M268" s="19"/>
      <c r="N268" s="19"/>
    </row>
    <row r="269" spans="1:14">
      <c r="A269" s="27">
        <v>27</v>
      </c>
      <c r="B269" s="27">
        <v>14</v>
      </c>
      <c r="C269" s="19"/>
      <c r="D269" s="19">
        <v>89</v>
      </c>
      <c r="E269" s="9" t="str">
        <f t="shared" si="4"/>
        <v>Non-toxic</v>
      </c>
      <c r="F269" s="19"/>
      <c r="G269" s="19"/>
      <c r="H269" s="19"/>
      <c r="I269" s="19"/>
      <c r="J269" s="19"/>
      <c r="K269" s="19"/>
      <c r="L269" s="19"/>
      <c r="M269" s="19"/>
      <c r="N269" s="19"/>
    </row>
    <row r="270" spans="1:14">
      <c r="A270" s="27">
        <v>27</v>
      </c>
      <c r="B270" s="27">
        <v>15</v>
      </c>
      <c r="C270" s="19"/>
      <c r="D270" s="19">
        <v>83</v>
      </c>
      <c r="E270" s="9" t="str">
        <f t="shared" si="4"/>
        <v>Non-toxic</v>
      </c>
      <c r="F270" s="19"/>
      <c r="G270" s="19"/>
      <c r="H270" s="19"/>
      <c r="I270" s="19"/>
      <c r="J270" s="19"/>
      <c r="K270" s="19"/>
      <c r="L270" s="19"/>
      <c r="M270" s="19"/>
      <c r="N270" s="19"/>
    </row>
    <row r="271" spans="1:14">
      <c r="A271" s="27">
        <v>27</v>
      </c>
      <c r="B271" s="27">
        <v>16</v>
      </c>
      <c r="C271" s="19"/>
      <c r="D271" s="19">
        <v>112</v>
      </c>
      <c r="E271" s="9" t="str">
        <f t="shared" si="4"/>
        <v>Non-toxic</v>
      </c>
      <c r="F271" s="19"/>
      <c r="G271" s="19"/>
      <c r="H271" s="19"/>
      <c r="I271" s="19"/>
      <c r="J271" s="19"/>
      <c r="K271" s="19"/>
      <c r="L271" s="19"/>
      <c r="M271" s="19"/>
      <c r="N271" s="19"/>
    </row>
    <row r="272" spans="1:14">
      <c r="A272" s="27">
        <v>27</v>
      </c>
      <c r="B272" s="27">
        <v>17</v>
      </c>
      <c r="C272" s="19"/>
      <c r="D272" s="19">
        <v>119</v>
      </c>
      <c r="E272" s="9" t="str">
        <f t="shared" si="4"/>
        <v>Non-toxic</v>
      </c>
      <c r="F272" s="19"/>
      <c r="G272" s="19"/>
      <c r="H272" s="19"/>
      <c r="I272" s="19"/>
      <c r="J272" s="19"/>
      <c r="K272" s="19"/>
      <c r="L272" s="19"/>
      <c r="M272" s="19"/>
      <c r="N272" s="19"/>
    </row>
    <row r="273" spans="1:14">
      <c r="A273" s="27">
        <v>27</v>
      </c>
      <c r="B273" s="27">
        <v>18</v>
      </c>
      <c r="C273" s="19"/>
      <c r="D273" s="19">
        <v>97</v>
      </c>
      <c r="E273" s="9" t="str">
        <f t="shared" si="4"/>
        <v>Non-toxic</v>
      </c>
      <c r="F273" s="19"/>
      <c r="G273" s="19"/>
      <c r="H273" s="19"/>
      <c r="I273" s="19"/>
      <c r="J273" s="19"/>
      <c r="K273" s="19"/>
      <c r="L273" s="19"/>
      <c r="M273" s="19"/>
      <c r="N273" s="19"/>
    </row>
    <row r="274" spans="1:14">
      <c r="A274" s="18">
        <v>28</v>
      </c>
      <c r="B274" s="18">
        <v>1</v>
      </c>
      <c r="C274" s="18"/>
      <c r="D274" s="53">
        <v>88.197226502311196</v>
      </c>
      <c r="E274" s="13" t="str">
        <f t="shared" si="4"/>
        <v>Non-toxic</v>
      </c>
      <c r="F274" s="18"/>
      <c r="G274" s="18"/>
      <c r="H274" s="18"/>
      <c r="I274" s="18"/>
      <c r="J274" s="18"/>
      <c r="K274" s="18"/>
      <c r="L274" s="18"/>
      <c r="M274" s="18"/>
      <c r="N274" s="18"/>
    </row>
    <row r="275" spans="1:14">
      <c r="A275" s="19">
        <v>28</v>
      </c>
      <c r="B275" s="19">
        <v>2</v>
      </c>
      <c r="C275" s="19"/>
      <c r="D275" s="46">
        <v>88.012326656394393</v>
      </c>
      <c r="E275" s="9" t="str">
        <f t="shared" si="4"/>
        <v>Non-toxic</v>
      </c>
      <c r="F275" s="19"/>
      <c r="G275" s="19"/>
      <c r="H275" s="19"/>
      <c r="I275" s="19"/>
      <c r="J275" s="19"/>
      <c r="K275" s="19"/>
      <c r="L275" s="19"/>
      <c r="M275" s="19"/>
      <c r="N275" s="19"/>
    </row>
    <row r="276" spans="1:14">
      <c r="A276" s="19">
        <v>28</v>
      </c>
      <c r="B276" s="19">
        <v>3</v>
      </c>
      <c r="C276" s="19"/>
      <c r="D276" s="46">
        <v>81.171032357472995</v>
      </c>
      <c r="E276" s="9" t="str">
        <f t="shared" si="4"/>
        <v>Non-toxic</v>
      </c>
      <c r="F276" s="19"/>
      <c r="G276" s="19"/>
      <c r="H276" s="19"/>
      <c r="I276" s="19"/>
      <c r="J276" s="19"/>
      <c r="K276" s="19"/>
      <c r="L276" s="19"/>
      <c r="M276" s="19"/>
      <c r="N276" s="19"/>
    </row>
    <row r="277" spans="1:14">
      <c r="A277" s="19">
        <v>28</v>
      </c>
      <c r="B277" s="19">
        <v>4</v>
      </c>
      <c r="C277" s="19"/>
      <c r="D277" s="46">
        <v>68.782742681047694</v>
      </c>
      <c r="E277" s="9" t="str">
        <f t="shared" si="4"/>
        <v>Toxic</v>
      </c>
      <c r="F277" s="19"/>
      <c r="G277" s="19"/>
      <c r="H277" s="19"/>
      <c r="I277" s="19"/>
      <c r="J277" s="19"/>
      <c r="K277" s="19"/>
      <c r="L277" s="19"/>
      <c r="M277" s="19"/>
      <c r="N277" s="19"/>
    </row>
    <row r="278" spans="1:14">
      <c r="A278" s="19">
        <v>28</v>
      </c>
      <c r="B278" s="19">
        <v>5</v>
      </c>
      <c r="C278" s="19"/>
      <c r="D278" s="46">
        <v>63.420647149460699</v>
      </c>
      <c r="E278" s="9" t="str">
        <f t="shared" si="4"/>
        <v>Toxic</v>
      </c>
      <c r="F278" s="19"/>
      <c r="G278" s="19"/>
      <c r="H278" s="19"/>
      <c r="I278" s="19"/>
      <c r="J278" s="19"/>
      <c r="K278" s="19"/>
      <c r="L278" s="19"/>
      <c r="M278" s="19"/>
      <c r="N278" s="19"/>
    </row>
    <row r="279" spans="1:14">
      <c r="A279" s="19">
        <v>28</v>
      </c>
      <c r="B279" s="19">
        <v>6</v>
      </c>
      <c r="C279" s="19"/>
      <c r="D279" s="34">
        <v>56.85</v>
      </c>
      <c r="E279" s="9" t="str">
        <f t="shared" si="4"/>
        <v>Toxic</v>
      </c>
      <c r="F279" s="19"/>
      <c r="G279" s="19"/>
      <c r="H279" s="19"/>
      <c r="I279" s="19"/>
      <c r="J279" s="19"/>
      <c r="K279" s="19"/>
      <c r="L279" s="19"/>
      <c r="M279" s="19"/>
      <c r="N279" s="19"/>
    </row>
    <row r="280" spans="1:14">
      <c r="A280" s="27">
        <v>28</v>
      </c>
      <c r="B280" s="27">
        <v>7</v>
      </c>
      <c r="C280" s="19"/>
      <c r="D280" s="68">
        <v>79.137134052388205</v>
      </c>
      <c r="E280" s="9" t="str">
        <f t="shared" si="4"/>
        <v>Non-toxic</v>
      </c>
      <c r="F280" s="19"/>
      <c r="G280" s="19"/>
      <c r="H280" s="19"/>
      <c r="I280" s="19"/>
      <c r="J280" s="19"/>
      <c r="K280" s="19"/>
      <c r="L280" s="19"/>
      <c r="M280" s="19"/>
      <c r="N280" s="19"/>
    </row>
    <row r="281" spans="1:14">
      <c r="A281" s="27">
        <v>28</v>
      </c>
      <c r="B281" s="27">
        <v>8</v>
      </c>
      <c r="C281" s="19"/>
      <c r="D281" s="68">
        <v>74.699537750385204</v>
      </c>
      <c r="E281" s="9" t="str">
        <f t="shared" si="4"/>
        <v>Non-toxic</v>
      </c>
      <c r="F281" s="19"/>
      <c r="G281" s="19"/>
      <c r="H281" s="19"/>
      <c r="I281" s="19"/>
      <c r="J281" s="19"/>
      <c r="K281" s="19"/>
      <c r="L281" s="19"/>
      <c r="M281" s="19"/>
      <c r="N281" s="19"/>
    </row>
    <row r="282" spans="1:14">
      <c r="A282" s="27">
        <v>28</v>
      </c>
      <c r="B282" s="27">
        <v>9</v>
      </c>
      <c r="C282" s="19"/>
      <c r="D282" s="68">
        <v>75.254237288135499</v>
      </c>
      <c r="E282" s="9" t="str">
        <f t="shared" si="4"/>
        <v>Non-toxic</v>
      </c>
      <c r="F282" s="19"/>
      <c r="G282" s="19"/>
      <c r="H282" s="19"/>
      <c r="I282" s="19"/>
      <c r="J282" s="19"/>
      <c r="K282" s="19"/>
      <c r="L282" s="19"/>
      <c r="M282" s="19"/>
      <c r="N282" s="19"/>
    </row>
    <row r="283" spans="1:14">
      <c r="A283" s="27">
        <v>28</v>
      </c>
      <c r="B283" s="27">
        <v>10</v>
      </c>
      <c r="C283" s="19"/>
      <c r="D283" s="68">
        <v>64.530046224961396</v>
      </c>
      <c r="E283" s="9" t="str">
        <f t="shared" si="4"/>
        <v>Toxic</v>
      </c>
      <c r="F283" s="19"/>
      <c r="G283" s="19"/>
      <c r="H283" s="19"/>
      <c r="I283" s="19"/>
      <c r="J283" s="19"/>
      <c r="K283" s="19"/>
      <c r="L283" s="19"/>
      <c r="M283" s="19"/>
      <c r="N283" s="19"/>
    </row>
    <row r="284" spans="1:14">
      <c r="A284" s="27">
        <v>28</v>
      </c>
      <c r="B284" s="27">
        <v>11</v>
      </c>
      <c r="C284" s="19"/>
      <c r="D284" s="68">
        <v>62.126348228043099</v>
      </c>
      <c r="E284" s="9" t="str">
        <f t="shared" si="4"/>
        <v>Toxic</v>
      </c>
      <c r="F284" s="19"/>
      <c r="G284" s="19"/>
      <c r="H284" s="19"/>
      <c r="I284" s="19"/>
      <c r="J284" s="19"/>
      <c r="K284" s="19"/>
      <c r="L284" s="19"/>
      <c r="M284" s="19"/>
      <c r="N284" s="19"/>
    </row>
    <row r="285" spans="1:14">
      <c r="A285" s="27">
        <v>28</v>
      </c>
      <c r="B285" s="27">
        <v>12</v>
      </c>
      <c r="C285" s="19"/>
      <c r="D285" s="68">
        <v>56.024684804002199</v>
      </c>
      <c r="E285" s="9" t="str">
        <f t="shared" si="4"/>
        <v>Toxic</v>
      </c>
      <c r="F285" s="19"/>
      <c r="G285" s="19"/>
      <c r="H285" s="19"/>
      <c r="I285" s="19"/>
      <c r="J285" s="19"/>
      <c r="K285" s="19"/>
      <c r="L285" s="19"/>
      <c r="M285" s="19"/>
      <c r="N285" s="19"/>
    </row>
    <row r="286" spans="1:14">
      <c r="A286" s="27">
        <v>28</v>
      </c>
      <c r="B286" s="27">
        <v>13</v>
      </c>
      <c r="C286" s="19"/>
      <c r="D286" s="68">
        <v>98.736517719568496</v>
      </c>
      <c r="E286" s="9" t="str">
        <f t="shared" si="4"/>
        <v>Non-toxic</v>
      </c>
      <c r="F286" s="19"/>
      <c r="G286" s="19"/>
      <c r="H286" s="19"/>
      <c r="I286" s="19"/>
      <c r="J286" s="19"/>
      <c r="K286" s="19"/>
      <c r="L286" s="19"/>
      <c r="M286" s="19"/>
      <c r="N286" s="19"/>
    </row>
    <row r="287" spans="1:14">
      <c r="A287" s="27">
        <v>28</v>
      </c>
      <c r="B287" s="27">
        <v>14</v>
      </c>
      <c r="C287" s="19"/>
      <c r="D287" s="68">
        <v>96.3328197226502</v>
      </c>
      <c r="E287" s="9" t="str">
        <f t="shared" si="4"/>
        <v>Non-toxic</v>
      </c>
      <c r="F287" s="19"/>
      <c r="G287" s="19"/>
      <c r="H287" s="19"/>
      <c r="I287" s="19"/>
      <c r="J287" s="19"/>
      <c r="K287" s="19"/>
      <c r="L287" s="19"/>
      <c r="M287" s="19"/>
      <c r="N287" s="19"/>
    </row>
    <row r="288" spans="1:14">
      <c r="A288" s="27">
        <v>28</v>
      </c>
      <c r="B288" s="27">
        <v>15</v>
      </c>
      <c r="C288" s="19"/>
      <c r="D288" s="68">
        <v>85.978428351309702</v>
      </c>
      <c r="E288" s="9" t="str">
        <f t="shared" si="4"/>
        <v>Non-toxic</v>
      </c>
      <c r="F288" s="19"/>
      <c r="G288" s="19"/>
      <c r="H288" s="19"/>
      <c r="I288" s="19"/>
      <c r="J288" s="19"/>
      <c r="K288" s="19"/>
      <c r="L288" s="19"/>
      <c r="M288" s="19"/>
      <c r="N288" s="19"/>
    </row>
    <row r="289" spans="1:14">
      <c r="A289" s="27">
        <v>28</v>
      </c>
      <c r="B289" s="27">
        <v>16</v>
      </c>
      <c r="C289" s="19"/>
      <c r="D289" s="68">
        <v>73.220338983050794</v>
      </c>
      <c r="E289" s="9" t="str">
        <f t="shared" si="4"/>
        <v>Non-toxic</v>
      </c>
      <c r="F289" s="19"/>
      <c r="G289" s="19"/>
      <c r="H289" s="19"/>
      <c r="I289" s="19"/>
      <c r="J289" s="19"/>
      <c r="K289" s="19"/>
      <c r="L289" s="19"/>
      <c r="M289" s="19"/>
      <c r="N289" s="19"/>
    </row>
    <row r="290" spans="1:14">
      <c r="A290" s="27">
        <v>28</v>
      </c>
      <c r="B290" s="27">
        <v>17</v>
      </c>
      <c r="C290" s="19"/>
      <c r="D290" s="68">
        <v>69.892141756548497</v>
      </c>
      <c r="E290" s="9" t="str">
        <f t="shared" si="4"/>
        <v>Toxic</v>
      </c>
      <c r="F290" s="19"/>
      <c r="G290" s="19"/>
      <c r="H290" s="19"/>
      <c r="I290" s="19"/>
      <c r="J290" s="19"/>
      <c r="K290" s="19"/>
      <c r="L290" s="19"/>
      <c r="M290" s="19"/>
      <c r="N290" s="19"/>
    </row>
    <row r="291" spans="1:14">
      <c r="A291" s="27">
        <v>28</v>
      </c>
      <c r="B291" s="27">
        <v>18</v>
      </c>
      <c r="C291" s="19"/>
      <c r="D291" s="34">
        <v>67.95</v>
      </c>
      <c r="E291" s="9" t="str">
        <f t="shared" si="4"/>
        <v>Toxic</v>
      </c>
      <c r="F291" s="19"/>
      <c r="G291" s="19"/>
      <c r="H291" s="19"/>
      <c r="I291" s="19"/>
      <c r="J291" s="19"/>
      <c r="K291" s="19"/>
      <c r="L291" s="19"/>
      <c r="M291" s="19"/>
      <c r="N291" s="19"/>
    </row>
    <row r="292" spans="1:14">
      <c r="A292" s="41">
        <v>29</v>
      </c>
      <c r="B292" s="41">
        <v>1</v>
      </c>
      <c r="C292" s="18"/>
      <c r="D292" s="69">
        <v>98.205499276411004</v>
      </c>
      <c r="E292" s="13" t="str">
        <f t="shared" si="4"/>
        <v>Non-toxic</v>
      </c>
      <c r="F292" s="18"/>
      <c r="G292" s="18"/>
      <c r="H292" s="18"/>
      <c r="I292" s="18"/>
      <c r="J292" s="18"/>
      <c r="K292" s="18"/>
      <c r="L292" s="18"/>
      <c r="M292" s="18"/>
      <c r="N292" s="18"/>
    </row>
    <row r="293" spans="1:14">
      <c r="A293" s="27">
        <v>29</v>
      </c>
      <c r="B293" s="27">
        <v>2</v>
      </c>
      <c r="C293" s="19"/>
      <c r="D293" s="34">
        <v>101.59189580318299</v>
      </c>
      <c r="E293" s="9" t="str">
        <f t="shared" si="4"/>
        <v>Non-toxic</v>
      </c>
      <c r="F293" s="19"/>
      <c r="G293" s="19"/>
      <c r="H293" s="19"/>
      <c r="I293" s="19"/>
      <c r="J293" s="19"/>
      <c r="K293" s="19"/>
      <c r="L293" s="19"/>
      <c r="M293" s="19"/>
      <c r="N293" s="19"/>
    </row>
    <row r="294" spans="1:14">
      <c r="A294" s="27">
        <v>29</v>
      </c>
      <c r="B294" s="27">
        <v>3</v>
      </c>
      <c r="C294" s="19"/>
      <c r="D294" s="34">
        <v>100.63675832127301</v>
      </c>
      <c r="E294" s="9" t="str">
        <f t="shared" si="4"/>
        <v>Non-toxic</v>
      </c>
      <c r="F294" s="19"/>
      <c r="G294" s="19"/>
      <c r="H294" s="19"/>
      <c r="I294" s="19"/>
      <c r="J294" s="19"/>
      <c r="K294" s="19"/>
      <c r="L294" s="19"/>
      <c r="M294" s="19"/>
      <c r="N294" s="19"/>
    </row>
    <row r="295" spans="1:14">
      <c r="A295" s="41">
        <v>30</v>
      </c>
      <c r="B295" s="41">
        <v>1</v>
      </c>
      <c r="C295" s="18"/>
      <c r="D295" s="70">
        <v>104.76190476190401</v>
      </c>
      <c r="E295" s="13" t="str">
        <f t="shared" si="4"/>
        <v>Non-toxic</v>
      </c>
      <c r="F295" s="18"/>
      <c r="G295" s="18"/>
      <c r="H295" s="18"/>
      <c r="I295" s="18"/>
      <c r="J295" s="18"/>
      <c r="K295" s="18"/>
      <c r="L295" s="18"/>
      <c r="M295" s="18"/>
      <c r="N295" s="18"/>
    </row>
    <row r="296" spans="1:14">
      <c r="A296" s="27">
        <v>30</v>
      </c>
      <c r="B296" s="27">
        <v>2</v>
      </c>
      <c r="C296" s="19"/>
      <c r="D296" s="56">
        <v>95.714285714285694</v>
      </c>
      <c r="E296" s="9" t="str">
        <f t="shared" si="4"/>
        <v>Non-toxic</v>
      </c>
      <c r="F296" s="19"/>
      <c r="G296" s="19"/>
      <c r="H296" s="19"/>
      <c r="I296" s="19"/>
      <c r="J296" s="19"/>
      <c r="K296" s="19"/>
      <c r="L296" s="19"/>
      <c r="M296" s="19"/>
      <c r="N296" s="19"/>
    </row>
    <row r="297" spans="1:14">
      <c r="A297" s="18">
        <v>31</v>
      </c>
      <c r="B297" s="18">
        <v>1</v>
      </c>
      <c r="C297" s="18"/>
      <c r="D297" s="53">
        <v>97.014925373134304</v>
      </c>
      <c r="E297" s="13" t="str">
        <f t="shared" si="4"/>
        <v>Non-toxic</v>
      </c>
      <c r="F297" s="18"/>
      <c r="G297" s="18"/>
      <c r="H297" s="18"/>
      <c r="I297" s="18"/>
      <c r="J297" s="18"/>
      <c r="K297" s="18"/>
      <c r="L297" s="18"/>
      <c r="M297" s="18"/>
      <c r="N297" s="18"/>
    </row>
    <row r="298" spans="1:14">
      <c r="A298" s="19">
        <v>31</v>
      </c>
      <c r="B298" s="19">
        <v>2</v>
      </c>
      <c r="C298" s="19"/>
      <c r="D298" s="46">
        <v>91.417910447761201</v>
      </c>
      <c r="E298" s="9" t="str">
        <f t="shared" si="4"/>
        <v>Non-toxic</v>
      </c>
      <c r="F298" s="19"/>
      <c r="G298" s="19"/>
      <c r="H298" s="19"/>
      <c r="I298" s="19"/>
      <c r="J298" s="19"/>
      <c r="K298" s="19"/>
      <c r="L298" s="19"/>
      <c r="M298" s="19"/>
      <c r="N298" s="19"/>
    </row>
    <row r="299" spans="1:14">
      <c r="A299" s="19">
        <v>31</v>
      </c>
      <c r="B299" s="19">
        <v>3</v>
      </c>
      <c r="C299" s="19"/>
      <c r="D299" s="46">
        <v>72.761194029850699</v>
      </c>
      <c r="E299" s="9" t="str">
        <f t="shared" si="4"/>
        <v>Non-toxic</v>
      </c>
      <c r="F299" s="19"/>
      <c r="G299" s="19"/>
      <c r="H299" s="19"/>
      <c r="I299" s="19"/>
      <c r="J299" s="19"/>
      <c r="K299" s="19"/>
      <c r="L299" s="19"/>
      <c r="M299" s="19"/>
      <c r="N299" s="19"/>
    </row>
    <row r="300" spans="1:14">
      <c r="A300" s="19">
        <v>31</v>
      </c>
      <c r="B300" s="19">
        <v>4</v>
      </c>
      <c r="C300" s="19"/>
      <c r="D300" s="46">
        <v>111.567164179104</v>
      </c>
      <c r="E300" s="9" t="str">
        <f t="shared" si="4"/>
        <v>Non-toxic</v>
      </c>
      <c r="F300" s="19"/>
      <c r="G300" s="19"/>
      <c r="H300" s="19"/>
      <c r="I300" s="19"/>
      <c r="J300" s="19"/>
      <c r="K300" s="19"/>
      <c r="L300" s="19"/>
      <c r="M300" s="19"/>
      <c r="N300" s="19"/>
    </row>
    <row r="301" spans="1:14">
      <c r="A301" s="19">
        <v>31</v>
      </c>
      <c r="B301" s="19">
        <v>5</v>
      </c>
      <c r="C301" s="19"/>
      <c r="D301" s="46">
        <v>98.507462686567095</v>
      </c>
      <c r="E301" s="9" t="str">
        <f t="shared" si="4"/>
        <v>Non-toxic</v>
      </c>
      <c r="F301" s="19"/>
      <c r="G301" s="19"/>
      <c r="H301" s="19"/>
      <c r="I301" s="19"/>
      <c r="J301" s="19"/>
      <c r="K301" s="19"/>
      <c r="L301" s="19"/>
      <c r="M301" s="19"/>
      <c r="N301" s="19"/>
    </row>
    <row r="302" spans="1:14">
      <c r="A302" s="19">
        <v>31</v>
      </c>
      <c r="B302" s="19">
        <v>6</v>
      </c>
      <c r="C302" s="19"/>
      <c r="D302" s="46">
        <v>69.402985074626798</v>
      </c>
      <c r="E302" s="9" t="str">
        <f t="shared" si="4"/>
        <v>Toxic</v>
      </c>
      <c r="F302" s="19"/>
      <c r="G302" s="19"/>
      <c r="H302" s="19"/>
      <c r="I302" s="19"/>
      <c r="J302" s="19"/>
      <c r="K302" s="19"/>
      <c r="L302" s="19"/>
      <c r="M302" s="19"/>
      <c r="N302" s="19"/>
    </row>
    <row r="303" spans="1:14">
      <c r="A303" s="41">
        <v>32</v>
      </c>
      <c r="B303" s="41">
        <v>1</v>
      </c>
      <c r="C303" s="18"/>
      <c r="D303" s="53">
        <v>100.46037245708401</v>
      </c>
      <c r="E303" s="13" t="str">
        <f t="shared" si="4"/>
        <v>Non-toxic</v>
      </c>
      <c r="F303" s="18"/>
      <c r="G303" s="18"/>
      <c r="H303" s="18"/>
      <c r="I303" s="18"/>
      <c r="J303" s="18"/>
      <c r="K303" s="18"/>
      <c r="L303" s="18"/>
      <c r="M303" s="18"/>
      <c r="N303" s="18"/>
    </row>
    <row r="304" spans="1:14">
      <c r="A304" s="27">
        <v>32</v>
      </c>
      <c r="B304" s="27">
        <v>2</v>
      </c>
      <c r="C304" s="19"/>
      <c r="D304" s="46">
        <v>101.32161181015501</v>
      </c>
      <c r="E304" s="9" t="str">
        <f t="shared" si="4"/>
        <v>Non-toxic</v>
      </c>
      <c r="F304" s="19"/>
      <c r="G304" s="19"/>
      <c r="H304" s="19"/>
      <c r="I304" s="19"/>
      <c r="J304" s="19"/>
      <c r="K304" s="19"/>
      <c r="L304" s="19"/>
      <c r="M304" s="19"/>
      <c r="N304" s="19"/>
    </row>
    <row r="305" spans="1:14">
      <c r="A305" s="27">
        <v>32</v>
      </c>
      <c r="B305" s="27">
        <v>3</v>
      </c>
      <c r="C305" s="19"/>
      <c r="D305" s="46">
        <v>100.46037245708401</v>
      </c>
      <c r="E305" s="9" t="str">
        <f t="shared" si="4"/>
        <v>Non-toxic</v>
      </c>
      <c r="F305" s="19"/>
      <c r="G305" s="19"/>
      <c r="H305" s="19"/>
      <c r="I305" s="19"/>
      <c r="J305" s="19"/>
      <c r="K305" s="19"/>
      <c r="L305" s="19"/>
      <c r="M305" s="19"/>
      <c r="N305" s="19"/>
    </row>
    <row r="306" spans="1:14">
      <c r="A306" s="27">
        <v>32</v>
      </c>
      <c r="B306" s="27">
        <v>4</v>
      </c>
      <c r="C306" s="19"/>
      <c r="D306" s="46">
        <v>101.32161181015501</v>
      </c>
      <c r="E306" s="9" t="str">
        <f t="shared" si="4"/>
        <v>Non-toxic</v>
      </c>
      <c r="F306" s="19"/>
      <c r="G306" s="19"/>
      <c r="H306" s="19"/>
      <c r="I306" s="19"/>
      <c r="J306" s="19"/>
      <c r="K306" s="19"/>
      <c r="L306" s="19"/>
      <c r="M306" s="19"/>
      <c r="N306" s="19"/>
    </row>
    <row r="307" spans="1:14">
      <c r="A307" s="27">
        <v>32</v>
      </c>
      <c r="B307" s="27">
        <v>5</v>
      </c>
      <c r="C307" s="19"/>
      <c r="D307" s="46">
        <v>100.46037245708401</v>
      </c>
      <c r="E307" s="9" t="str">
        <f t="shared" si="4"/>
        <v>Non-toxic</v>
      </c>
      <c r="F307" s="19"/>
      <c r="G307" s="19"/>
      <c r="H307" s="19"/>
      <c r="I307" s="19"/>
      <c r="J307" s="19"/>
      <c r="K307" s="19"/>
      <c r="L307" s="19"/>
      <c r="M307" s="19"/>
      <c r="N307" s="19"/>
    </row>
    <row r="308" spans="1:14">
      <c r="A308" s="27">
        <v>32</v>
      </c>
      <c r="B308" s="27">
        <v>6</v>
      </c>
      <c r="C308" s="19"/>
      <c r="D308" s="46">
        <v>101.32161181015501</v>
      </c>
      <c r="E308" s="9" t="str">
        <f t="shared" si="4"/>
        <v>Non-toxic</v>
      </c>
      <c r="F308" s="19"/>
      <c r="G308" s="19"/>
      <c r="H308" s="19"/>
      <c r="I308" s="19"/>
      <c r="J308" s="19"/>
      <c r="K308" s="19"/>
      <c r="L308" s="19"/>
      <c r="M308" s="19"/>
      <c r="N308" s="19"/>
    </row>
    <row r="309" spans="1:14">
      <c r="A309" s="27">
        <v>32</v>
      </c>
      <c r="B309" s="27">
        <v>7</v>
      </c>
      <c r="C309" s="19"/>
      <c r="D309" s="46">
        <v>103.34928229665</v>
      </c>
      <c r="E309" s="9" t="str">
        <f t="shared" si="4"/>
        <v>Non-toxic</v>
      </c>
      <c r="F309" s="19"/>
      <c r="G309" s="19"/>
      <c r="H309" s="19"/>
      <c r="I309" s="19"/>
      <c r="J309" s="19"/>
      <c r="K309" s="19"/>
      <c r="L309" s="19"/>
      <c r="M309" s="19"/>
      <c r="N309" s="19"/>
    </row>
    <row r="310" spans="1:14">
      <c r="A310" s="27">
        <v>32</v>
      </c>
      <c r="B310" s="27">
        <v>8</v>
      </c>
      <c r="C310" s="19"/>
      <c r="D310" s="46">
        <v>103.70813397129101</v>
      </c>
      <c r="E310" s="9" t="str">
        <f t="shared" si="4"/>
        <v>Non-toxic</v>
      </c>
      <c r="F310" s="19"/>
      <c r="G310" s="19"/>
      <c r="H310" s="19"/>
      <c r="I310" s="19"/>
      <c r="J310" s="19"/>
      <c r="K310" s="19"/>
      <c r="L310" s="19"/>
      <c r="M310" s="19"/>
      <c r="N310" s="19"/>
    </row>
    <row r="311" spans="1:14">
      <c r="A311" s="27">
        <v>32</v>
      </c>
      <c r="B311" s="27">
        <v>9</v>
      </c>
      <c r="C311" s="19"/>
      <c r="D311" s="46">
        <v>103.70813397129101</v>
      </c>
      <c r="E311" s="9" t="str">
        <f t="shared" si="4"/>
        <v>Non-toxic</v>
      </c>
      <c r="F311" s="19"/>
      <c r="G311" s="19"/>
      <c r="H311" s="19"/>
      <c r="I311" s="19"/>
      <c r="J311" s="19"/>
      <c r="K311" s="19"/>
      <c r="L311" s="19"/>
      <c r="M311" s="19"/>
      <c r="N311" s="19"/>
    </row>
    <row r="312" spans="1:14">
      <c r="A312" s="27">
        <v>32</v>
      </c>
      <c r="B312" s="27">
        <v>10</v>
      </c>
      <c r="C312" s="19"/>
      <c r="D312" s="46">
        <v>103.34928229665</v>
      </c>
      <c r="E312" s="9" t="str">
        <f t="shared" si="4"/>
        <v>Non-toxic</v>
      </c>
      <c r="F312" s="19"/>
      <c r="G312" s="19"/>
      <c r="H312" s="19"/>
      <c r="I312" s="19"/>
      <c r="J312" s="19"/>
      <c r="K312" s="19"/>
      <c r="L312" s="19"/>
      <c r="M312" s="19"/>
      <c r="N312" s="19"/>
    </row>
    <row r="313" spans="1:14">
      <c r="A313" s="27">
        <v>32</v>
      </c>
      <c r="B313" s="27">
        <v>11</v>
      </c>
      <c r="C313" s="19"/>
      <c r="D313" s="46">
        <v>103.34928229665</v>
      </c>
      <c r="E313" s="9" t="str">
        <f t="shared" si="4"/>
        <v>Non-toxic</v>
      </c>
      <c r="F313" s="19"/>
      <c r="G313" s="19"/>
      <c r="H313" s="19"/>
      <c r="I313" s="19"/>
      <c r="J313" s="19"/>
      <c r="K313" s="19"/>
      <c r="L313" s="19"/>
      <c r="M313" s="19"/>
      <c r="N313" s="19"/>
    </row>
    <row r="314" spans="1:14">
      <c r="A314" s="27">
        <v>32</v>
      </c>
      <c r="B314" s="27">
        <v>12</v>
      </c>
      <c r="C314" s="19"/>
      <c r="D314" s="46">
        <v>104.066985645933</v>
      </c>
      <c r="E314" s="9" t="str">
        <f t="shared" si="4"/>
        <v>Non-toxic</v>
      </c>
      <c r="F314" s="19"/>
      <c r="G314" s="19"/>
      <c r="H314" s="19"/>
      <c r="I314" s="19"/>
      <c r="J314" s="19"/>
      <c r="K314" s="19"/>
      <c r="L314" s="19"/>
      <c r="M314" s="19"/>
      <c r="N314" s="19"/>
    </row>
    <row r="315" spans="1:14">
      <c r="A315" s="27">
        <v>32</v>
      </c>
      <c r="B315" s="27">
        <v>13</v>
      </c>
      <c r="C315" s="19"/>
      <c r="D315" s="46">
        <v>105.627808575513</v>
      </c>
      <c r="E315" s="9" t="str">
        <f t="shared" si="4"/>
        <v>Non-toxic</v>
      </c>
      <c r="F315" s="19"/>
      <c r="G315" s="19"/>
      <c r="H315" s="19"/>
      <c r="I315" s="19"/>
      <c r="J315" s="19"/>
      <c r="K315" s="19"/>
      <c r="L315" s="19"/>
      <c r="M315" s="19"/>
      <c r="N315" s="19"/>
    </row>
    <row r="316" spans="1:14">
      <c r="A316" s="27">
        <v>32</v>
      </c>
      <c r="B316" s="27">
        <v>14</v>
      </c>
      <c r="C316" s="19"/>
      <c r="D316" s="46">
        <v>107.35028728165599</v>
      </c>
      <c r="E316" s="9" t="str">
        <f t="shared" si="4"/>
        <v>Non-toxic</v>
      </c>
      <c r="F316" s="19"/>
      <c r="G316" s="19"/>
      <c r="H316" s="19"/>
      <c r="I316" s="19"/>
      <c r="J316" s="19"/>
      <c r="K316" s="19"/>
      <c r="L316" s="19"/>
      <c r="M316" s="19"/>
      <c r="N316" s="19"/>
    </row>
    <row r="317" spans="1:14">
      <c r="A317" s="27">
        <v>32</v>
      </c>
      <c r="B317" s="27">
        <v>15</v>
      </c>
      <c r="C317" s="19"/>
      <c r="D317" s="46">
        <v>106.48904792858499</v>
      </c>
      <c r="E317" s="9" t="str">
        <f t="shared" si="4"/>
        <v>Non-toxic</v>
      </c>
      <c r="F317" s="19"/>
      <c r="G317" s="19"/>
      <c r="H317" s="19"/>
      <c r="I317" s="19"/>
      <c r="J317" s="19"/>
      <c r="K317" s="19"/>
      <c r="L317" s="19"/>
      <c r="M317" s="19"/>
      <c r="N317" s="19"/>
    </row>
    <row r="318" spans="1:14">
      <c r="A318" s="27">
        <v>32</v>
      </c>
      <c r="B318" s="27">
        <v>16</v>
      </c>
      <c r="C318" s="19"/>
      <c r="D318" s="46">
        <v>108.211526634728</v>
      </c>
      <c r="E318" s="9" t="str">
        <f t="shared" si="4"/>
        <v>Non-toxic</v>
      </c>
      <c r="F318" s="19"/>
      <c r="G318" s="19"/>
      <c r="H318" s="19"/>
      <c r="I318" s="19"/>
      <c r="J318" s="19"/>
      <c r="K318" s="19"/>
      <c r="L318" s="19"/>
      <c r="M318" s="19"/>
      <c r="N318" s="19"/>
    </row>
    <row r="319" spans="1:14">
      <c r="A319" s="27">
        <v>32</v>
      </c>
      <c r="B319" s="27">
        <v>17</v>
      </c>
      <c r="C319" s="19"/>
      <c r="D319" s="46">
        <v>108.211526634728</v>
      </c>
      <c r="E319" s="9" t="str">
        <f t="shared" si="4"/>
        <v>Non-toxic</v>
      </c>
      <c r="F319" s="19"/>
      <c r="G319" s="19"/>
      <c r="H319" s="19"/>
      <c r="I319" s="19"/>
      <c r="J319" s="19"/>
      <c r="K319" s="19"/>
      <c r="L319" s="19"/>
      <c r="M319" s="19"/>
      <c r="N319" s="19"/>
    </row>
    <row r="320" spans="1:14">
      <c r="A320" s="27">
        <v>32</v>
      </c>
      <c r="B320" s="27">
        <v>18</v>
      </c>
      <c r="C320" s="19"/>
      <c r="D320" s="46">
        <v>106.48904792858499</v>
      </c>
      <c r="E320" s="9" t="str">
        <f t="shared" si="4"/>
        <v>Non-toxic</v>
      </c>
      <c r="F320" s="19"/>
      <c r="G320" s="19"/>
      <c r="H320" s="19"/>
      <c r="I320" s="19"/>
      <c r="J320" s="19"/>
      <c r="K320" s="19"/>
      <c r="L320" s="19"/>
      <c r="M320" s="19"/>
      <c r="N320" s="19"/>
    </row>
    <row r="321" spans="1:14">
      <c r="A321" s="27">
        <v>32</v>
      </c>
      <c r="B321" s="27">
        <v>19</v>
      </c>
      <c r="C321" s="19"/>
      <c r="D321" s="46">
        <v>100.46037245708401</v>
      </c>
      <c r="E321" s="9" t="str">
        <f t="shared" si="4"/>
        <v>Non-toxic</v>
      </c>
      <c r="F321" s="19"/>
      <c r="G321" s="19"/>
      <c r="H321" s="19"/>
      <c r="I321" s="19"/>
      <c r="J321" s="19"/>
      <c r="K321" s="19"/>
      <c r="L321" s="19"/>
      <c r="M321" s="19"/>
      <c r="N321" s="19"/>
    </row>
    <row r="322" spans="1:14">
      <c r="A322" s="27">
        <v>32</v>
      </c>
      <c r="B322" s="27">
        <v>20</v>
      </c>
      <c r="C322" s="19"/>
      <c r="D322" s="46">
        <v>78.068149277223498</v>
      </c>
      <c r="E322" s="9" t="str">
        <f t="shared" si="4"/>
        <v>Non-toxic</v>
      </c>
      <c r="F322" s="19"/>
      <c r="G322" s="19"/>
      <c r="H322" s="19"/>
      <c r="I322" s="19"/>
      <c r="J322" s="19"/>
      <c r="K322" s="19"/>
      <c r="L322" s="19"/>
      <c r="M322" s="19"/>
      <c r="N322" s="19"/>
    </row>
    <row r="323" spans="1:14">
      <c r="A323" s="27">
        <v>32</v>
      </c>
      <c r="B323" s="27">
        <v>21</v>
      </c>
      <c r="C323" s="19"/>
      <c r="D323" s="46">
        <v>73.7619525118658</v>
      </c>
      <c r="E323" s="9" t="str">
        <f t="shared" ref="E323:E386" si="5">IF(D323="","",IF(D323&lt;70,"Toxic","Non-toxic"))</f>
        <v>Non-toxic</v>
      </c>
      <c r="F323" s="19"/>
      <c r="G323" s="19"/>
      <c r="H323" s="19"/>
      <c r="I323" s="19"/>
      <c r="J323" s="19"/>
      <c r="K323" s="19"/>
      <c r="L323" s="19"/>
      <c r="M323" s="19"/>
      <c r="N323" s="19"/>
    </row>
    <row r="324" spans="1:14">
      <c r="A324" s="27">
        <v>32</v>
      </c>
      <c r="B324" s="27">
        <v>22</v>
      </c>
      <c r="C324" s="19"/>
      <c r="D324" s="46">
        <v>72.900713158794204</v>
      </c>
      <c r="E324" s="9" t="str">
        <f t="shared" si="5"/>
        <v>Non-toxic</v>
      </c>
      <c r="F324" s="19"/>
      <c r="G324" s="19"/>
      <c r="H324" s="19"/>
      <c r="I324" s="19"/>
      <c r="J324" s="19"/>
      <c r="K324" s="19"/>
      <c r="L324" s="19"/>
      <c r="M324" s="19"/>
      <c r="N324" s="19"/>
    </row>
    <row r="325" spans="1:14">
      <c r="A325" s="27">
        <v>32</v>
      </c>
      <c r="B325" s="27">
        <v>23</v>
      </c>
      <c r="C325" s="19"/>
      <c r="D325" s="46">
        <v>68.594516393436393</v>
      </c>
      <c r="E325" s="9" t="str">
        <f t="shared" si="5"/>
        <v>Toxic</v>
      </c>
      <c r="F325" s="19"/>
      <c r="G325" s="19"/>
      <c r="H325" s="19"/>
      <c r="I325" s="19"/>
      <c r="J325" s="19"/>
      <c r="K325" s="19"/>
      <c r="L325" s="19"/>
      <c r="M325" s="19"/>
      <c r="N325" s="19"/>
    </row>
    <row r="326" spans="1:14">
      <c r="A326" s="27">
        <v>32</v>
      </c>
      <c r="B326" s="27">
        <v>24</v>
      </c>
      <c r="C326" s="19"/>
      <c r="D326" s="46">
        <v>78.068149277223498</v>
      </c>
      <c r="E326" s="9" t="str">
        <f t="shared" si="5"/>
        <v>Non-toxic</v>
      </c>
      <c r="F326" s="19"/>
      <c r="G326" s="19"/>
      <c r="H326" s="19"/>
      <c r="I326" s="19"/>
      <c r="J326" s="19"/>
      <c r="K326" s="19"/>
      <c r="L326" s="19"/>
      <c r="M326" s="19"/>
      <c r="N326" s="19"/>
    </row>
    <row r="327" spans="1:14">
      <c r="A327" s="27">
        <v>32</v>
      </c>
      <c r="B327" s="27">
        <v>25</v>
      </c>
      <c r="C327" s="19"/>
      <c r="D327" s="46">
        <v>99.599133104012495</v>
      </c>
      <c r="E327" s="9" t="str">
        <f t="shared" si="5"/>
        <v>Non-toxic</v>
      </c>
      <c r="F327" s="19"/>
      <c r="G327" s="19"/>
      <c r="H327" s="19"/>
      <c r="I327" s="19"/>
      <c r="J327" s="19"/>
      <c r="K327" s="19"/>
      <c r="L327" s="19"/>
      <c r="M327" s="19"/>
      <c r="N327" s="19"/>
    </row>
    <row r="328" spans="1:14">
      <c r="A328" s="27">
        <v>32</v>
      </c>
      <c r="B328" s="27">
        <v>26</v>
      </c>
      <c r="C328" s="19"/>
      <c r="D328" s="46">
        <v>72.039473805722693</v>
      </c>
      <c r="E328" s="9" t="str">
        <f t="shared" si="5"/>
        <v>Non-toxic</v>
      </c>
      <c r="F328" s="19"/>
      <c r="G328" s="19"/>
      <c r="H328" s="19"/>
      <c r="I328" s="19"/>
      <c r="J328" s="19"/>
      <c r="K328" s="19"/>
      <c r="L328" s="19"/>
      <c r="M328" s="19"/>
      <c r="N328" s="19"/>
    </row>
    <row r="329" spans="1:14">
      <c r="A329" s="27">
        <v>32</v>
      </c>
      <c r="B329" s="27">
        <v>27</v>
      </c>
      <c r="C329" s="19"/>
      <c r="D329" s="46">
        <v>62.565840921935497</v>
      </c>
      <c r="E329" s="9" t="str">
        <f t="shared" si="5"/>
        <v>Toxic</v>
      </c>
      <c r="F329" s="19"/>
      <c r="G329" s="19"/>
      <c r="H329" s="19"/>
      <c r="I329" s="19"/>
      <c r="J329" s="19"/>
      <c r="K329" s="19"/>
      <c r="L329" s="19"/>
      <c r="M329" s="19"/>
      <c r="N329" s="19"/>
    </row>
    <row r="330" spans="1:14">
      <c r="A330" s="27">
        <v>32</v>
      </c>
      <c r="B330" s="27">
        <v>28</v>
      </c>
      <c r="C330" s="19"/>
      <c r="D330" s="46">
        <v>53.092208038148399</v>
      </c>
      <c r="E330" s="9" t="str">
        <f t="shared" si="5"/>
        <v>Toxic</v>
      </c>
      <c r="F330" s="19"/>
      <c r="G330" s="19"/>
      <c r="H330" s="19"/>
      <c r="I330" s="19"/>
      <c r="J330" s="19"/>
      <c r="K330" s="19"/>
      <c r="L330" s="19"/>
      <c r="M330" s="19"/>
      <c r="N330" s="19"/>
    </row>
    <row r="331" spans="1:14">
      <c r="A331" s="27">
        <v>32</v>
      </c>
      <c r="B331" s="27">
        <v>29</v>
      </c>
      <c r="C331" s="19"/>
      <c r="D331" s="46">
        <v>48.786011272790603</v>
      </c>
      <c r="E331" s="9" t="str">
        <f t="shared" si="5"/>
        <v>Toxic</v>
      </c>
      <c r="F331" s="19"/>
      <c r="G331" s="19"/>
      <c r="H331" s="19"/>
      <c r="I331" s="19"/>
      <c r="J331" s="19"/>
      <c r="K331" s="19"/>
      <c r="L331" s="19"/>
      <c r="M331" s="19"/>
      <c r="N331" s="19"/>
    </row>
    <row r="332" spans="1:14">
      <c r="A332" s="27">
        <v>32</v>
      </c>
      <c r="B332" s="27">
        <v>30</v>
      </c>
      <c r="C332" s="19"/>
      <c r="D332" s="46">
        <v>41.896096448218202</v>
      </c>
      <c r="E332" s="9" t="str">
        <f t="shared" si="5"/>
        <v>Toxic</v>
      </c>
      <c r="F332" s="19"/>
      <c r="G332" s="19"/>
      <c r="H332" s="19"/>
      <c r="I332" s="19"/>
      <c r="J332" s="19"/>
      <c r="K332" s="19"/>
      <c r="L332" s="19"/>
      <c r="M332" s="19"/>
      <c r="N332" s="19"/>
    </row>
    <row r="333" spans="1:14">
      <c r="A333" s="27">
        <v>32</v>
      </c>
      <c r="B333" s="27">
        <v>31</v>
      </c>
      <c r="C333" s="19"/>
      <c r="D333" s="46">
        <v>102.182851163227</v>
      </c>
      <c r="E333" s="9" t="str">
        <f t="shared" si="5"/>
        <v>Non-toxic</v>
      </c>
      <c r="F333" s="19"/>
      <c r="G333" s="19"/>
      <c r="H333" s="19"/>
      <c r="I333" s="19"/>
      <c r="J333" s="19"/>
      <c r="K333" s="19"/>
      <c r="L333" s="19"/>
      <c r="M333" s="19"/>
      <c r="N333" s="19"/>
    </row>
    <row r="334" spans="1:14">
      <c r="A334" s="27">
        <v>32</v>
      </c>
      <c r="B334" s="27">
        <v>32</v>
      </c>
      <c r="C334" s="19"/>
      <c r="D334" s="46">
        <v>56.5371654504346</v>
      </c>
      <c r="E334" s="9" t="str">
        <f t="shared" si="5"/>
        <v>Toxic</v>
      </c>
      <c r="F334" s="19"/>
      <c r="G334" s="19"/>
      <c r="H334" s="19"/>
      <c r="I334" s="19"/>
      <c r="J334" s="19"/>
      <c r="K334" s="19"/>
      <c r="L334" s="19"/>
      <c r="M334" s="19"/>
      <c r="N334" s="19"/>
    </row>
    <row r="335" spans="1:14">
      <c r="A335" s="27">
        <v>32</v>
      </c>
      <c r="B335" s="27">
        <v>33</v>
      </c>
      <c r="C335" s="19"/>
      <c r="D335" s="46">
        <v>53.092208038148399</v>
      </c>
      <c r="E335" s="9" t="str">
        <f t="shared" si="5"/>
        <v>Toxic</v>
      </c>
      <c r="F335" s="19"/>
      <c r="G335" s="19"/>
      <c r="H335" s="19"/>
      <c r="I335" s="19"/>
      <c r="J335" s="19"/>
      <c r="K335" s="19"/>
      <c r="L335" s="19"/>
      <c r="M335" s="19"/>
      <c r="N335" s="19"/>
    </row>
    <row r="336" spans="1:14">
      <c r="A336" s="27">
        <v>32</v>
      </c>
      <c r="B336" s="27">
        <v>34</v>
      </c>
      <c r="C336" s="19"/>
      <c r="D336" s="46">
        <v>48.786011272790603</v>
      </c>
      <c r="E336" s="9" t="str">
        <f t="shared" si="5"/>
        <v>Toxic</v>
      </c>
      <c r="F336" s="19"/>
      <c r="G336" s="19"/>
      <c r="H336" s="19"/>
      <c r="I336" s="19"/>
      <c r="J336" s="19"/>
      <c r="K336" s="19"/>
      <c r="L336" s="19"/>
      <c r="M336" s="19"/>
      <c r="N336" s="19"/>
    </row>
    <row r="337" spans="1:14">
      <c r="A337" s="27">
        <v>32</v>
      </c>
      <c r="B337" s="27">
        <v>35</v>
      </c>
      <c r="C337" s="19"/>
      <c r="D337" s="46">
        <v>30.699984858287898</v>
      </c>
      <c r="E337" s="9" t="str">
        <f t="shared" si="5"/>
        <v>Toxic</v>
      </c>
      <c r="F337" s="19"/>
      <c r="G337" s="19"/>
      <c r="H337" s="19"/>
      <c r="I337" s="19"/>
      <c r="J337" s="19"/>
      <c r="K337" s="19"/>
      <c r="L337" s="19"/>
      <c r="M337" s="19"/>
      <c r="N337" s="19"/>
    </row>
    <row r="338" spans="1:14">
      <c r="A338" s="27">
        <v>32</v>
      </c>
      <c r="B338" s="27">
        <v>36</v>
      </c>
      <c r="C338" s="19"/>
      <c r="D338" s="46">
        <v>19.503873268357601</v>
      </c>
      <c r="E338" s="9" t="str">
        <f t="shared" si="5"/>
        <v>Toxic</v>
      </c>
      <c r="F338" s="19"/>
      <c r="G338" s="19"/>
      <c r="H338" s="19"/>
      <c r="I338" s="19"/>
      <c r="J338" s="19"/>
      <c r="K338" s="19"/>
      <c r="L338" s="19"/>
      <c r="M338" s="19"/>
      <c r="N338" s="19"/>
    </row>
    <row r="339" spans="1:14">
      <c r="A339" s="27">
        <v>32</v>
      </c>
      <c r="B339" s="27">
        <v>37</v>
      </c>
      <c r="C339" s="19"/>
      <c r="D339" s="71">
        <v>101.754385964912</v>
      </c>
      <c r="E339" s="9" t="str">
        <f t="shared" si="5"/>
        <v>Non-toxic</v>
      </c>
      <c r="F339" s="19"/>
      <c r="G339" s="19"/>
      <c r="H339" s="19"/>
      <c r="I339" s="19"/>
      <c r="J339" s="19"/>
      <c r="K339" s="19"/>
      <c r="L339" s="19"/>
      <c r="M339" s="19"/>
      <c r="N339" s="19"/>
    </row>
    <row r="340" spans="1:14">
      <c r="A340" s="27">
        <v>32</v>
      </c>
      <c r="B340" s="27">
        <v>38</v>
      </c>
      <c r="C340" s="19"/>
      <c r="D340" s="71">
        <v>101.754385964912</v>
      </c>
      <c r="E340" s="9" t="str">
        <f t="shared" si="5"/>
        <v>Non-toxic</v>
      </c>
      <c r="F340" s="19"/>
      <c r="G340" s="19"/>
      <c r="H340" s="19"/>
      <c r="I340" s="19"/>
      <c r="J340" s="19"/>
      <c r="K340" s="19"/>
      <c r="L340" s="19"/>
      <c r="M340" s="19"/>
      <c r="N340" s="19"/>
    </row>
    <row r="341" spans="1:14">
      <c r="A341" s="27">
        <v>32</v>
      </c>
      <c r="B341" s="27">
        <v>39</v>
      </c>
      <c r="C341" s="19"/>
      <c r="D341" s="71">
        <v>102.631578947368</v>
      </c>
      <c r="E341" s="9" t="str">
        <f t="shared" si="5"/>
        <v>Non-toxic</v>
      </c>
      <c r="F341" s="19"/>
      <c r="G341" s="19"/>
      <c r="H341" s="19"/>
      <c r="I341" s="19"/>
      <c r="J341" s="19"/>
      <c r="K341" s="19"/>
      <c r="L341" s="19"/>
      <c r="M341" s="19"/>
      <c r="N341" s="19"/>
    </row>
    <row r="342" spans="1:14">
      <c r="A342" s="27">
        <v>32</v>
      </c>
      <c r="B342" s="27">
        <v>40</v>
      </c>
      <c r="C342" s="19"/>
      <c r="D342" s="71">
        <v>101.754385964912</v>
      </c>
      <c r="E342" s="9" t="str">
        <f t="shared" si="5"/>
        <v>Non-toxic</v>
      </c>
      <c r="F342" s="19"/>
      <c r="G342" s="19"/>
      <c r="H342" s="19"/>
      <c r="I342" s="19"/>
      <c r="J342" s="19"/>
      <c r="K342" s="19"/>
      <c r="L342" s="19"/>
      <c r="M342" s="19"/>
      <c r="N342" s="19"/>
    </row>
    <row r="343" spans="1:14">
      <c r="A343" s="27">
        <v>32</v>
      </c>
      <c r="B343" s="27">
        <v>41</v>
      </c>
      <c r="C343" s="19"/>
      <c r="D343" s="71">
        <v>101.754385964912</v>
      </c>
      <c r="E343" s="9" t="str">
        <f t="shared" si="5"/>
        <v>Non-toxic</v>
      </c>
      <c r="F343" s="19"/>
      <c r="G343" s="19"/>
      <c r="H343" s="19"/>
      <c r="I343" s="19"/>
      <c r="J343" s="19"/>
      <c r="K343" s="19"/>
      <c r="L343" s="19"/>
      <c r="M343" s="19"/>
      <c r="N343" s="19"/>
    </row>
    <row r="344" spans="1:14">
      <c r="A344" s="27">
        <v>32</v>
      </c>
      <c r="B344" s="27">
        <v>42</v>
      </c>
      <c r="C344" s="19"/>
      <c r="D344" s="19">
        <v>102</v>
      </c>
      <c r="E344" s="9" t="str">
        <f t="shared" si="5"/>
        <v>Non-toxic</v>
      </c>
      <c r="F344" s="19"/>
      <c r="G344" s="19"/>
      <c r="H344" s="19"/>
      <c r="I344" s="19"/>
      <c r="J344" s="19"/>
      <c r="K344" s="19"/>
      <c r="L344" s="19"/>
      <c r="M344" s="19"/>
      <c r="N344" s="19"/>
    </row>
    <row r="345" spans="1:14">
      <c r="A345" s="27">
        <v>32</v>
      </c>
      <c r="B345" s="27">
        <v>43</v>
      </c>
      <c r="C345" s="19"/>
      <c r="D345" s="46">
        <v>106.14035087719201</v>
      </c>
      <c r="E345" s="9" t="str">
        <f t="shared" si="5"/>
        <v>Non-toxic</v>
      </c>
      <c r="F345" s="19"/>
      <c r="G345" s="19"/>
      <c r="H345" s="19"/>
      <c r="I345" s="19"/>
      <c r="J345" s="19"/>
      <c r="K345" s="19"/>
      <c r="L345" s="19"/>
      <c r="M345" s="19"/>
      <c r="N345" s="19"/>
    </row>
    <row r="346" spans="1:14">
      <c r="A346" s="27">
        <v>32</v>
      </c>
      <c r="B346" s="27">
        <v>44</v>
      </c>
      <c r="C346" s="19"/>
      <c r="D346" s="46">
        <v>105.263157894736</v>
      </c>
      <c r="E346" s="9" t="str">
        <f t="shared" si="5"/>
        <v>Non-toxic</v>
      </c>
      <c r="F346" s="19"/>
      <c r="G346" s="19"/>
      <c r="H346" s="19"/>
      <c r="I346" s="19"/>
      <c r="J346" s="19"/>
      <c r="K346" s="19"/>
      <c r="L346" s="19"/>
      <c r="M346" s="19"/>
      <c r="N346" s="19"/>
    </row>
    <row r="347" spans="1:14">
      <c r="A347" s="27">
        <v>32</v>
      </c>
      <c r="B347" s="27">
        <v>45</v>
      </c>
      <c r="C347" s="19"/>
      <c r="D347" s="46">
        <v>104.38596491228</v>
      </c>
      <c r="E347" s="9" t="str">
        <f t="shared" si="5"/>
        <v>Non-toxic</v>
      </c>
      <c r="F347" s="19"/>
      <c r="G347" s="19"/>
      <c r="H347" s="19"/>
      <c r="I347" s="19"/>
      <c r="J347" s="19"/>
      <c r="K347" s="19"/>
      <c r="L347" s="19"/>
      <c r="M347" s="19"/>
      <c r="N347" s="19"/>
    </row>
    <row r="348" spans="1:14">
      <c r="A348" s="27">
        <v>32</v>
      </c>
      <c r="B348" s="27">
        <v>46</v>
      </c>
      <c r="C348" s="19"/>
      <c r="D348" s="46">
        <v>107.017543859649</v>
      </c>
      <c r="E348" s="9" t="str">
        <f t="shared" si="5"/>
        <v>Non-toxic</v>
      </c>
      <c r="F348" s="19"/>
      <c r="G348" s="19"/>
      <c r="H348" s="19"/>
      <c r="I348" s="19"/>
      <c r="J348" s="19"/>
      <c r="K348" s="19"/>
      <c r="L348" s="19"/>
      <c r="M348" s="19"/>
      <c r="N348" s="19"/>
    </row>
    <row r="349" spans="1:14">
      <c r="A349" s="27">
        <v>32</v>
      </c>
      <c r="B349" s="27">
        <v>47</v>
      </c>
      <c r="C349" s="19"/>
      <c r="D349" s="46">
        <v>105.263157894736</v>
      </c>
      <c r="E349" s="9" t="str">
        <f t="shared" si="5"/>
        <v>Non-toxic</v>
      </c>
      <c r="F349" s="19"/>
      <c r="G349" s="19"/>
      <c r="H349" s="19"/>
      <c r="I349" s="19"/>
      <c r="J349" s="19"/>
      <c r="K349" s="19"/>
      <c r="L349" s="19"/>
      <c r="M349" s="19"/>
      <c r="N349" s="19"/>
    </row>
    <row r="350" spans="1:14">
      <c r="A350" s="27">
        <v>32</v>
      </c>
      <c r="B350" s="27">
        <v>48</v>
      </c>
      <c r="C350" s="19"/>
      <c r="D350" s="46">
        <v>103.50877192982399</v>
      </c>
      <c r="E350" s="9" t="str">
        <f t="shared" si="5"/>
        <v>Non-toxic</v>
      </c>
      <c r="F350" s="19"/>
      <c r="G350" s="19"/>
      <c r="H350" s="19"/>
      <c r="I350" s="19"/>
      <c r="J350" s="19"/>
      <c r="K350" s="19"/>
      <c r="L350" s="19"/>
      <c r="M350" s="19"/>
      <c r="N350" s="19"/>
    </row>
    <row r="351" spans="1:14">
      <c r="A351" s="27">
        <v>32</v>
      </c>
      <c r="B351" s="27">
        <v>49</v>
      </c>
      <c r="C351" s="19"/>
      <c r="D351" s="46">
        <v>102.631578947368</v>
      </c>
      <c r="E351" s="9" t="str">
        <f t="shared" si="5"/>
        <v>Non-toxic</v>
      </c>
      <c r="F351" s="19"/>
      <c r="G351" s="19"/>
      <c r="H351" s="19"/>
      <c r="I351" s="19"/>
      <c r="J351" s="19"/>
      <c r="K351" s="19"/>
      <c r="L351" s="19"/>
      <c r="M351" s="19"/>
      <c r="N351" s="19"/>
    </row>
    <row r="352" spans="1:14">
      <c r="A352" s="27">
        <v>32</v>
      </c>
      <c r="B352" s="27">
        <v>50</v>
      </c>
      <c r="C352" s="19"/>
      <c r="D352" s="46">
        <v>101.754385964912</v>
      </c>
      <c r="E352" s="9" t="str">
        <f t="shared" si="5"/>
        <v>Non-toxic</v>
      </c>
      <c r="F352" s="19"/>
      <c r="G352" s="19"/>
      <c r="H352" s="19"/>
      <c r="I352" s="19"/>
      <c r="J352" s="19"/>
      <c r="K352" s="19"/>
      <c r="L352" s="19"/>
      <c r="M352" s="19"/>
      <c r="N352" s="19"/>
    </row>
    <row r="353" spans="1:14">
      <c r="A353" s="27">
        <v>32</v>
      </c>
      <c r="B353" s="27">
        <v>51</v>
      </c>
      <c r="C353" s="19"/>
      <c r="D353" s="46">
        <v>103.50877192982399</v>
      </c>
      <c r="E353" s="9" t="str">
        <f t="shared" si="5"/>
        <v>Non-toxic</v>
      </c>
      <c r="F353" s="19"/>
      <c r="G353" s="19"/>
      <c r="H353" s="19"/>
      <c r="I353" s="19"/>
      <c r="J353" s="19"/>
      <c r="K353" s="19"/>
      <c r="L353" s="19"/>
      <c r="M353" s="19"/>
      <c r="N353" s="19"/>
    </row>
    <row r="354" spans="1:14">
      <c r="A354" s="27">
        <v>32</v>
      </c>
      <c r="B354" s="27">
        <v>52</v>
      </c>
      <c r="C354" s="19"/>
      <c r="D354" s="46">
        <v>105.263157894736</v>
      </c>
      <c r="E354" s="9" t="str">
        <f t="shared" si="5"/>
        <v>Non-toxic</v>
      </c>
      <c r="F354" s="19"/>
      <c r="G354" s="19"/>
      <c r="H354" s="19"/>
      <c r="I354" s="19"/>
      <c r="J354" s="19"/>
      <c r="K354" s="19"/>
      <c r="L354" s="19"/>
      <c r="M354" s="19"/>
      <c r="N354" s="19"/>
    </row>
    <row r="355" spans="1:14">
      <c r="A355" s="27">
        <v>32</v>
      </c>
      <c r="B355" s="27">
        <v>53</v>
      </c>
      <c r="C355" s="19"/>
      <c r="D355" s="46">
        <v>104.38596491228</v>
      </c>
      <c r="E355" s="9" t="str">
        <f t="shared" si="5"/>
        <v>Non-toxic</v>
      </c>
      <c r="F355" s="19"/>
      <c r="G355" s="19"/>
      <c r="H355" s="19"/>
      <c r="I355" s="19"/>
      <c r="J355" s="19"/>
      <c r="K355" s="19"/>
      <c r="L355" s="19"/>
      <c r="M355" s="19"/>
      <c r="N355" s="19"/>
    </row>
    <row r="356" spans="1:14">
      <c r="A356" s="27">
        <v>32</v>
      </c>
      <c r="B356" s="27">
        <v>54</v>
      </c>
      <c r="C356" s="19"/>
      <c r="D356" s="46">
        <v>103.50877192982399</v>
      </c>
      <c r="E356" s="9" t="str">
        <f t="shared" si="5"/>
        <v>Non-toxic</v>
      </c>
      <c r="F356" s="19"/>
      <c r="G356" s="19"/>
      <c r="H356" s="19"/>
      <c r="I356" s="19"/>
      <c r="J356" s="19"/>
      <c r="K356" s="19"/>
      <c r="L356" s="19"/>
      <c r="M356" s="19"/>
      <c r="N356" s="19"/>
    </row>
    <row r="357" spans="1:14">
      <c r="A357" s="27">
        <v>32</v>
      </c>
      <c r="B357" s="27">
        <v>55</v>
      </c>
      <c r="C357" s="19"/>
      <c r="D357" s="71">
        <v>100.87719298245599</v>
      </c>
      <c r="E357" s="9" t="str">
        <f t="shared" si="5"/>
        <v>Non-toxic</v>
      </c>
      <c r="F357" s="19"/>
      <c r="G357" s="19"/>
      <c r="H357" s="19"/>
      <c r="I357" s="19"/>
      <c r="J357" s="19"/>
      <c r="K357" s="19"/>
      <c r="L357" s="19"/>
      <c r="M357" s="19"/>
      <c r="N357" s="19"/>
    </row>
    <row r="358" spans="1:14">
      <c r="A358" s="27">
        <v>32</v>
      </c>
      <c r="B358" s="27">
        <v>56</v>
      </c>
      <c r="C358" s="19"/>
      <c r="D358" s="71">
        <v>80.701754385964904</v>
      </c>
      <c r="E358" s="9" t="str">
        <f t="shared" si="5"/>
        <v>Non-toxic</v>
      </c>
      <c r="F358" s="19"/>
      <c r="G358" s="19"/>
      <c r="H358" s="19"/>
      <c r="I358" s="19"/>
      <c r="J358" s="19"/>
      <c r="K358" s="19"/>
      <c r="L358" s="19"/>
      <c r="M358" s="19"/>
      <c r="N358" s="19"/>
    </row>
    <row r="359" spans="1:14">
      <c r="A359" s="27">
        <v>32</v>
      </c>
      <c r="B359" s="27">
        <v>57</v>
      </c>
      <c r="C359" s="19"/>
      <c r="D359" s="71">
        <v>73.684210526315695</v>
      </c>
      <c r="E359" s="9" t="str">
        <f t="shared" si="5"/>
        <v>Non-toxic</v>
      </c>
      <c r="F359" s="19"/>
      <c r="G359" s="19"/>
      <c r="H359" s="19"/>
      <c r="I359" s="19"/>
      <c r="J359" s="19"/>
      <c r="K359" s="19"/>
      <c r="L359" s="19"/>
      <c r="M359" s="19"/>
      <c r="N359" s="19"/>
    </row>
    <row r="360" spans="1:14">
      <c r="A360" s="27">
        <v>32</v>
      </c>
      <c r="B360" s="27">
        <v>58</v>
      </c>
      <c r="C360" s="19"/>
      <c r="D360" s="71">
        <v>71.052631578947299</v>
      </c>
      <c r="E360" s="9" t="str">
        <f t="shared" si="5"/>
        <v>Non-toxic</v>
      </c>
      <c r="F360" s="19"/>
      <c r="G360" s="19"/>
      <c r="H360" s="19"/>
      <c r="I360" s="19"/>
      <c r="J360" s="19"/>
      <c r="K360" s="19"/>
      <c r="L360" s="19"/>
      <c r="M360" s="19"/>
      <c r="N360" s="19"/>
    </row>
    <row r="361" spans="1:14">
      <c r="A361" s="27">
        <v>32</v>
      </c>
      <c r="B361" s="27">
        <v>59</v>
      </c>
      <c r="C361" s="19"/>
      <c r="D361" s="71">
        <v>68.421052631578902</v>
      </c>
      <c r="E361" s="9" t="str">
        <f t="shared" si="5"/>
        <v>Toxic</v>
      </c>
      <c r="F361" s="19"/>
      <c r="G361" s="19"/>
      <c r="H361" s="19"/>
      <c r="I361" s="19"/>
      <c r="J361" s="19"/>
      <c r="K361" s="19"/>
      <c r="L361" s="19"/>
      <c r="M361" s="19"/>
      <c r="N361" s="19"/>
    </row>
    <row r="362" spans="1:14">
      <c r="A362" s="27">
        <v>32</v>
      </c>
      <c r="B362" s="27">
        <v>60</v>
      </c>
      <c r="C362" s="19"/>
      <c r="D362" s="71">
        <v>77.1929824561403</v>
      </c>
      <c r="E362" s="9" t="str">
        <f t="shared" si="5"/>
        <v>Non-toxic</v>
      </c>
      <c r="F362" s="19"/>
      <c r="G362" s="19"/>
      <c r="H362" s="19"/>
      <c r="I362" s="19"/>
      <c r="J362" s="19"/>
      <c r="K362" s="19"/>
      <c r="L362" s="19"/>
      <c r="M362" s="19"/>
      <c r="N362" s="19"/>
    </row>
    <row r="363" spans="1:14">
      <c r="A363" s="27">
        <v>32</v>
      </c>
      <c r="B363" s="27">
        <v>61</v>
      </c>
      <c r="C363" s="19"/>
      <c r="D363" s="46">
        <v>100.802558765076</v>
      </c>
      <c r="E363" s="9" t="str">
        <f t="shared" si="5"/>
        <v>Non-toxic</v>
      </c>
      <c r="F363" s="19"/>
      <c r="G363" s="19"/>
      <c r="H363" s="19"/>
      <c r="I363" s="19"/>
      <c r="J363" s="19"/>
      <c r="K363" s="19"/>
      <c r="L363" s="19"/>
      <c r="M363" s="19"/>
      <c r="N363" s="19"/>
    </row>
    <row r="364" spans="1:14">
      <c r="A364" s="27">
        <v>32</v>
      </c>
      <c r="B364" s="27">
        <v>62</v>
      </c>
      <c r="C364" s="19"/>
      <c r="D364" s="46">
        <v>77.020888300666996</v>
      </c>
      <c r="E364" s="9" t="str">
        <f t="shared" si="5"/>
        <v>Non-toxic</v>
      </c>
      <c r="F364" s="19"/>
      <c r="G364" s="19"/>
      <c r="H364" s="19"/>
      <c r="I364" s="19"/>
      <c r="J364" s="19"/>
      <c r="K364" s="19"/>
      <c r="L364" s="19"/>
      <c r="M364" s="19"/>
      <c r="N364" s="19"/>
    </row>
    <row r="365" spans="1:14">
      <c r="A365" s="27">
        <v>32</v>
      </c>
      <c r="B365" s="27">
        <v>63</v>
      </c>
      <c r="C365" s="19"/>
      <c r="D365" s="46">
        <v>66.884430110105995</v>
      </c>
      <c r="E365" s="9" t="str">
        <f t="shared" si="5"/>
        <v>Toxic</v>
      </c>
      <c r="F365" s="19"/>
      <c r="G365" s="19"/>
      <c r="H365" s="19"/>
      <c r="I365" s="19"/>
      <c r="J365" s="19"/>
      <c r="K365" s="19"/>
      <c r="L365" s="19"/>
      <c r="M365" s="19"/>
      <c r="N365" s="19"/>
    </row>
    <row r="366" spans="1:14">
      <c r="A366" s="27">
        <v>32</v>
      </c>
      <c r="B366" s="27">
        <v>64</v>
      </c>
      <c r="C366" s="19"/>
      <c r="D366" s="46">
        <v>59.087153206094598</v>
      </c>
      <c r="E366" s="9" t="str">
        <f t="shared" si="5"/>
        <v>Toxic</v>
      </c>
      <c r="F366" s="19"/>
      <c r="G366" s="19"/>
      <c r="H366" s="19"/>
      <c r="I366" s="19"/>
      <c r="J366" s="19"/>
      <c r="K366" s="19"/>
      <c r="L366" s="19"/>
      <c r="M366" s="19"/>
      <c r="N366" s="19"/>
    </row>
    <row r="367" spans="1:14">
      <c r="A367" s="27">
        <v>32</v>
      </c>
      <c r="B367" s="27">
        <v>65</v>
      </c>
      <c r="C367" s="19"/>
      <c r="D367" s="46">
        <v>54.0189330340826</v>
      </c>
      <c r="E367" s="9" t="str">
        <f t="shared" si="5"/>
        <v>Toxic</v>
      </c>
      <c r="F367" s="19"/>
      <c r="G367" s="19"/>
      <c r="H367" s="19"/>
      <c r="I367" s="19"/>
      <c r="J367" s="19"/>
      <c r="K367" s="19"/>
      <c r="L367" s="19"/>
      <c r="M367" s="19"/>
      <c r="N367" s="19"/>
    </row>
    <row r="368" spans="1:14">
      <c r="A368" s="27">
        <v>32</v>
      </c>
      <c r="B368" s="27">
        <v>66</v>
      </c>
      <c r="C368" s="19"/>
      <c r="D368" s="46">
        <v>48.950712862070503</v>
      </c>
      <c r="E368" s="9" t="str">
        <f t="shared" si="5"/>
        <v>Toxic</v>
      </c>
      <c r="F368" s="19"/>
      <c r="G368" s="19"/>
      <c r="H368" s="19"/>
      <c r="I368" s="19"/>
      <c r="J368" s="19"/>
      <c r="K368" s="19"/>
      <c r="L368" s="19"/>
      <c r="M368" s="19"/>
      <c r="N368" s="19"/>
    </row>
    <row r="369" spans="1:14">
      <c r="A369" s="27">
        <v>32</v>
      </c>
      <c r="B369" s="27">
        <v>67</v>
      </c>
      <c r="C369" s="19"/>
      <c r="D369" s="46">
        <v>101.192416363989</v>
      </c>
      <c r="E369" s="9" t="str">
        <f t="shared" si="5"/>
        <v>Non-toxic</v>
      </c>
      <c r="F369" s="19"/>
      <c r="G369" s="19"/>
      <c r="H369" s="19"/>
      <c r="I369" s="19"/>
      <c r="J369" s="19"/>
      <c r="K369" s="19"/>
      <c r="L369" s="19"/>
      <c r="M369" s="19"/>
      <c r="N369" s="19"/>
    </row>
    <row r="370" spans="1:14">
      <c r="A370" s="27">
        <v>32</v>
      </c>
      <c r="B370" s="27">
        <v>68</v>
      </c>
      <c r="C370" s="19"/>
      <c r="D370" s="46">
        <v>59.477028651544103</v>
      </c>
      <c r="E370" s="9" t="str">
        <f t="shared" si="5"/>
        <v>Toxic</v>
      </c>
      <c r="F370" s="19"/>
      <c r="G370" s="19"/>
      <c r="H370" s="19"/>
      <c r="I370" s="19"/>
      <c r="J370" s="19"/>
      <c r="K370" s="19"/>
      <c r="L370" s="19"/>
      <c r="M370" s="19"/>
      <c r="N370" s="19"/>
    </row>
    <row r="371" spans="1:14">
      <c r="A371" s="27">
        <v>32</v>
      </c>
      <c r="B371" s="27">
        <v>69</v>
      </c>
      <c r="C371" s="19"/>
      <c r="D371" s="46">
        <v>53.239199989720397</v>
      </c>
      <c r="E371" s="9" t="str">
        <f t="shared" si="5"/>
        <v>Toxic</v>
      </c>
      <c r="F371" s="19"/>
      <c r="G371" s="19"/>
      <c r="H371" s="19"/>
      <c r="I371" s="19"/>
      <c r="J371" s="19"/>
      <c r="K371" s="19"/>
      <c r="L371" s="19"/>
      <c r="M371" s="19"/>
      <c r="N371" s="19"/>
    </row>
    <row r="372" spans="1:14">
      <c r="A372" s="27">
        <v>32</v>
      </c>
      <c r="B372" s="27">
        <v>70</v>
      </c>
      <c r="C372" s="19"/>
      <c r="D372" s="46">
        <v>46.6115315755208</v>
      </c>
      <c r="E372" s="9" t="str">
        <f t="shared" si="5"/>
        <v>Toxic</v>
      </c>
      <c r="F372" s="19"/>
      <c r="G372" s="19"/>
      <c r="H372" s="19"/>
      <c r="I372" s="19"/>
      <c r="J372" s="19"/>
      <c r="K372" s="19"/>
      <c r="L372" s="19"/>
      <c r="M372" s="19"/>
      <c r="N372" s="19"/>
    </row>
    <row r="373" spans="1:14">
      <c r="A373" s="27">
        <v>32</v>
      </c>
      <c r="B373" s="27">
        <v>71</v>
      </c>
      <c r="C373" s="19"/>
      <c r="D373" s="46">
        <v>41.543293556971797</v>
      </c>
      <c r="E373" s="9" t="str">
        <f t="shared" si="5"/>
        <v>Toxic</v>
      </c>
      <c r="F373" s="19"/>
      <c r="G373" s="19"/>
      <c r="H373" s="19"/>
      <c r="I373" s="19"/>
      <c r="J373" s="19"/>
      <c r="K373" s="19"/>
      <c r="L373" s="19"/>
      <c r="M373" s="19"/>
      <c r="N373" s="19"/>
    </row>
    <row r="374" spans="1:14">
      <c r="A374" s="27">
        <v>32</v>
      </c>
      <c r="B374" s="27">
        <v>72</v>
      </c>
      <c r="C374" s="19"/>
      <c r="D374" s="46">
        <v>30.627102322048501</v>
      </c>
      <c r="E374" s="9" t="str">
        <f t="shared" si="5"/>
        <v>Toxic</v>
      </c>
      <c r="F374" s="19"/>
      <c r="G374" s="19"/>
      <c r="H374" s="19"/>
      <c r="I374" s="19"/>
      <c r="J374" s="19"/>
      <c r="K374" s="19"/>
      <c r="L374" s="19"/>
      <c r="M374" s="19"/>
      <c r="N374" s="19"/>
    </row>
    <row r="375" spans="1:14" s="60" customFormat="1">
      <c r="A375" s="41">
        <v>33</v>
      </c>
      <c r="B375" s="41">
        <v>1</v>
      </c>
      <c r="C375" s="18"/>
      <c r="D375" s="53">
        <v>88.181817472473696</v>
      </c>
      <c r="E375" s="13" t="str">
        <f t="shared" si="5"/>
        <v>Non-toxic</v>
      </c>
      <c r="F375" s="18"/>
      <c r="G375" s="18"/>
      <c r="H375" s="18"/>
      <c r="I375" s="18"/>
      <c r="J375" s="18"/>
      <c r="K375" s="18"/>
      <c r="L375" s="18"/>
      <c r="M375" s="18"/>
      <c r="N375" s="18"/>
    </row>
    <row r="376" spans="1:14">
      <c r="A376" s="27">
        <v>33</v>
      </c>
      <c r="B376" s="19">
        <v>2</v>
      </c>
      <c r="C376" s="19"/>
      <c r="D376" s="46">
        <v>104.999999219721</v>
      </c>
      <c r="E376" s="9" t="str">
        <f t="shared" si="5"/>
        <v>Non-toxic</v>
      </c>
      <c r="F376" s="19"/>
      <c r="G376" s="19"/>
      <c r="H376" s="19"/>
      <c r="I376" s="19"/>
      <c r="J376" s="19"/>
      <c r="K376" s="19"/>
      <c r="L376" s="19"/>
      <c r="M376" s="19"/>
      <c r="N376" s="19"/>
    </row>
    <row r="377" spans="1:14" ht="15.75">
      <c r="A377" s="27">
        <v>33</v>
      </c>
      <c r="B377" s="19">
        <v>3</v>
      </c>
      <c r="C377" s="19"/>
      <c r="D377" s="98">
        <v>86.818189550036493</v>
      </c>
      <c r="E377" s="9" t="str">
        <f t="shared" si="5"/>
        <v>Non-toxic</v>
      </c>
      <c r="F377" s="19"/>
      <c r="G377" s="19"/>
      <c r="H377" s="19"/>
      <c r="I377" s="19"/>
      <c r="J377" s="19"/>
      <c r="K377" s="19"/>
      <c r="L377" s="19"/>
      <c r="M377" s="19"/>
      <c r="N377" s="19"/>
    </row>
    <row r="378" spans="1:14" ht="15.75">
      <c r="A378" s="27">
        <v>33</v>
      </c>
      <c r="B378" s="19">
        <v>4</v>
      </c>
      <c r="C378" s="19"/>
      <c r="D378" s="98">
        <v>89.545457879373501</v>
      </c>
      <c r="E378" s="9" t="str">
        <f t="shared" si="5"/>
        <v>Non-toxic</v>
      </c>
      <c r="F378" s="19"/>
      <c r="G378" s="19"/>
      <c r="H378" s="19"/>
      <c r="I378" s="19"/>
      <c r="J378" s="19"/>
      <c r="K378" s="19"/>
      <c r="L378" s="19"/>
      <c r="M378" s="19"/>
      <c r="N378" s="19"/>
    </row>
    <row r="379" spans="1:14">
      <c r="A379" s="41">
        <v>34</v>
      </c>
      <c r="B379" s="41">
        <v>1</v>
      </c>
      <c r="C379" s="18"/>
      <c r="D379" s="53">
        <v>54.509789334738699</v>
      </c>
      <c r="E379" s="13" t="str">
        <f t="shared" si="5"/>
        <v>Toxic</v>
      </c>
      <c r="F379" s="18"/>
      <c r="G379" s="18"/>
      <c r="H379" s="18"/>
      <c r="I379" s="18"/>
      <c r="J379" s="18"/>
      <c r="K379" s="18"/>
      <c r="L379" s="18"/>
      <c r="M379" s="18"/>
      <c r="N379" s="18"/>
    </row>
    <row r="380" spans="1:14">
      <c r="A380" s="27">
        <v>34</v>
      </c>
      <c r="B380" s="27">
        <v>2</v>
      </c>
      <c r="C380" s="19"/>
      <c r="D380" s="46">
        <v>58.627448502403197</v>
      </c>
      <c r="E380" s="9" t="str">
        <f t="shared" si="5"/>
        <v>Toxic</v>
      </c>
      <c r="F380" s="19"/>
      <c r="G380" s="19"/>
      <c r="H380" s="19"/>
      <c r="I380" s="19"/>
      <c r="J380" s="19"/>
      <c r="K380" s="19"/>
      <c r="L380" s="19"/>
      <c r="M380" s="19"/>
      <c r="N380" s="19"/>
    </row>
    <row r="381" spans="1:14">
      <c r="A381" s="27">
        <v>34</v>
      </c>
      <c r="B381" s="27">
        <v>3</v>
      </c>
      <c r="C381" s="19"/>
      <c r="D381" s="52">
        <v>90.784315341835594</v>
      </c>
      <c r="E381" s="9" t="str">
        <f t="shared" si="5"/>
        <v>Non-toxic</v>
      </c>
      <c r="F381" s="19"/>
      <c r="G381" s="19"/>
      <c r="H381" s="19"/>
      <c r="I381" s="19"/>
      <c r="J381" s="19"/>
      <c r="K381" s="19"/>
      <c r="L381" s="19"/>
      <c r="M381" s="19"/>
      <c r="N381" s="19"/>
    </row>
    <row r="382" spans="1:14">
      <c r="A382" s="27">
        <v>34</v>
      </c>
      <c r="B382" s="27">
        <v>4</v>
      </c>
      <c r="C382" s="19"/>
      <c r="D382" s="52">
        <v>97.450981489071793</v>
      </c>
      <c r="E382" s="9" t="str">
        <f t="shared" si="5"/>
        <v>Non-toxic</v>
      </c>
      <c r="F382" s="19"/>
      <c r="G382" s="19"/>
      <c r="H382" s="19"/>
      <c r="I382" s="19"/>
      <c r="J382" s="19"/>
      <c r="K382" s="19"/>
      <c r="L382" s="19"/>
      <c r="M382" s="19"/>
      <c r="N382" s="19"/>
    </row>
    <row r="383" spans="1:14">
      <c r="A383" s="27">
        <v>34</v>
      </c>
      <c r="B383" s="27">
        <v>5</v>
      </c>
      <c r="C383" s="19"/>
      <c r="D383" s="46">
        <v>92.745099722781504</v>
      </c>
      <c r="E383" s="9" t="str">
        <f t="shared" si="5"/>
        <v>Non-toxic</v>
      </c>
      <c r="F383" s="19"/>
      <c r="G383" s="19"/>
      <c r="H383" s="19"/>
      <c r="I383" s="19"/>
      <c r="J383" s="19"/>
      <c r="K383" s="19"/>
      <c r="L383" s="19"/>
      <c r="M383" s="19"/>
      <c r="N383" s="19"/>
    </row>
    <row r="384" spans="1:14">
      <c r="A384" s="27">
        <v>34</v>
      </c>
      <c r="B384" s="27">
        <v>6</v>
      </c>
      <c r="C384" s="19"/>
      <c r="D384" s="46">
        <v>98.823524571894893</v>
      </c>
      <c r="E384" s="9" t="str">
        <f t="shared" si="5"/>
        <v>Non-toxic</v>
      </c>
      <c r="F384" s="19"/>
      <c r="G384" s="19"/>
      <c r="H384" s="19"/>
      <c r="I384" s="19"/>
      <c r="J384" s="19"/>
      <c r="K384" s="19"/>
      <c r="L384" s="19"/>
      <c r="M384" s="19"/>
      <c r="N384" s="19"/>
    </row>
    <row r="385" spans="1:14">
      <c r="A385" s="41">
        <v>35</v>
      </c>
      <c r="B385" s="41">
        <v>1</v>
      </c>
      <c r="C385" s="18"/>
      <c r="D385" s="53">
        <v>77.738511557137699</v>
      </c>
      <c r="E385" s="13" t="str">
        <f t="shared" si="5"/>
        <v>Non-toxic</v>
      </c>
      <c r="F385" s="18"/>
      <c r="G385" s="18"/>
      <c r="H385" s="18"/>
      <c r="I385" s="18"/>
      <c r="J385" s="18"/>
      <c r="K385" s="18"/>
      <c r="L385" s="18"/>
      <c r="M385" s="18"/>
      <c r="N385" s="18"/>
    </row>
    <row r="386" spans="1:14">
      <c r="A386" s="27">
        <v>35</v>
      </c>
      <c r="B386" s="27">
        <v>2</v>
      </c>
      <c r="C386" s="19"/>
      <c r="D386" s="46">
        <v>80.918723614139594</v>
      </c>
      <c r="E386" s="9" t="str">
        <f t="shared" si="5"/>
        <v>Non-toxic</v>
      </c>
      <c r="F386" s="19"/>
      <c r="G386" s="19"/>
      <c r="H386" s="19"/>
      <c r="I386" s="19"/>
      <c r="J386" s="19"/>
      <c r="K386" s="19"/>
      <c r="L386" s="19"/>
      <c r="M386" s="19"/>
      <c r="N386" s="19"/>
    </row>
    <row r="387" spans="1:14">
      <c r="A387" s="18">
        <v>36</v>
      </c>
      <c r="B387" s="18">
        <v>1</v>
      </c>
      <c r="C387" s="18"/>
      <c r="D387" s="53">
        <v>80.330558252114898</v>
      </c>
      <c r="E387" s="13" t="str">
        <f t="shared" ref="E387:E441" si="6">IF(D387="","",IF(D387&lt;70,"Toxic","Non-toxic"))</f>
        <v>Non-toxic</v>
      </c>
      <c r="F387" s="18"/>
      <c r="G387" s="18"/>
      <c r="H387" s="18"/>
      <c r="I387" s="18"/>
      <c r="J387" s="18"/>
      <c r="K387" s="18"/>
      <c r="L387" s="18"/>
      <c r="M387" s="18"/>
      <c r="N387" s="18"/>
    </row>
    <row r="388" spans="1:14">
      <c r="A388" s="19">
        <v>36</v>
      </c>
      <c r="B388" s="19">
        <v>2</v>
      </c>
      <c r="C388" s="19"/>
      <c r="D388" s="46">
        <v>69.421500359779401</v>
      </c>
      <c r="E388" s="9" t="str">
        <f t="shared" si="6"/>
        <v>Toxic</v>
      </c>
      <c r="F388" s="19"/>
      <c r="G388" s="19"/>
      <c r="H388" s="19"/>
      <c r="I388" s="19"/>
      <c r="J388" s="19"/>
      <c r="K388" s="19"/>
      <c r="L388" s="19"/>
      <c r="M388" s="19"/>
      <c r="N388" s="19"/>
    </row>
    <row r="389" spans="1:14">
      <c r="A389" s="19">
        <v>36</v>
      </c>
      <c r="B389" s="19">
        <v>3</v>
      </c>
      <c r="C389" s="19"/>
      <c r="D389" s="46">
        <v>67.438014652973607</v>
      </c>
      <c r="E389" s="9" t="str">
        <f t="shared" si="6"/>
        <v>Toxic</v>
      </c>
      <c r="F389" s="19"/>
      <c r="G389" s="19"/>
      <c r="H389" s="19"/>
      <c r="I389" s="19"/>
      <c r="J389" s="19"/>
      <c r="K389" s="19"/>
      <c r="L389" s="19"/>
      <c r="M389" s="19"/>
      <c r="N389" s="19"/>
    </row>
    <row r="390" spans="1:14">
      <c r="A390" s="19">
        <v>36</v>
      </c>
      <c r="B390" s="19">
        <v>4</v>
      </c>
      <c r="C390" s="19"/>
      <c r="D390" s="46">
        <v>60.495882776211097</v>
      </c>
      <c r="E390" s="9" t="str">
        <f t="shared" si="6"/>
        <v>Toxic</v>
      </c>
      <c r="F390" s="19"/>
      <c r="G390" s="19"/>
      <c r="H390" s="19"/>
      <c r="I390" s="19"/>
      <c r="J390" s="19"/>
      <c r="K390" s="19"/>
      <c r="L390" s="19"/>
      <c r="M390" s="19"/>
      <c r="N390" s="19"/>
    </row>
    <row r="391" spans="1:14">
      <c r="A391" s="19">
        <v>36</v>
      </c>
      <c r="B391" s="19">
        <v>5</v>
      </c>
      <c r="C391" s="19"/>
      <c r="D391" s="46">
        <v>50.5784996402205</v>
      </c>
      <c r="E391" s="9" t="str">
        <f t="shared" si="6"/>
        <v>Toxic</v>
      </c>
      <c r="F391" s="19"/>
      <c r="G391" s="19"/>
      <c r="H391" s="19"/>
      <c r="I391" s="19"/>
      <c r="J391" s="19"/>
      <c r="K391" s="19"/>
      <c r="L391" s="19"/>
      <c r="M391" s="19"/>
      <c r="N391" s="19"/>
    </row>
    <row r="392" spans="1:14">
      <c r="A392" s="19">
        <v>36</v>
      </c>
      <c r="B392" s="19">
        <v>6</v>
      </c>
      <c r="C392" s="19"/>
      <c r="D392" s="46">
        <v>50.5784996402205</v>
      </c>
      <c r="E392" s="9" t="str">
        <f t="shared" si="6"/>
        <v>Toxic</v>
      </c>
      <c r="F392" s="19"/>
      <c r="G392" s="19"/>
      <c r="H392" s="19"/>
      <c r="I392" s="19"/>
      <c r="J392" s="19"/>
      <c r="K392" s="19"/>
      <c r="L392" s="19"/>
      <c r="M392" s="19"/>
      <c r="N392" s="19"/>
    </row>
    <row r="393" spans="1:14">
      <c r="A393" s="19">
        <v>36</v>
      </c>
      <c r="B393" s="19">
        <v>7</v>
      </c>
      <c r="C393" s="19"/>
      <c r="D393" s="46">
        <v>54.545471053832202</v>
      </c>
      <c r="E393" s="9" t="str">
        <f t="shared" si="6"/>
        <v>Toxic</v>
      </c>
      <c r="F393" s="19"/>
      <c r="G393" s="19"/>
      <c r="H393" s="19"/>
      <c r="I393" s="19"/>
      <c r="J393" s="19"/>
      <c r="K393" s="19"/>
      <c r="L393" s="19"/>
      <c r="M393" s="19"/>
      <c r="N393" s="19"/>
    </row>
    <row r="394" spans="1:14">
      <c r="A394" s="19">
        <v>36</v>
      </c>
      <c r="B394" s="19">
        <v>8</v>
      </c>
      <c r="C394" s="19"/>
      <c r="D394" s="46">
        <v>82.314043958920706</v>
      </c>
      <c r="E394" s="9" t="str">
        <f t="shared" si="6"/>
        <v>Non-toxic</v>
      </c>
      <c r="F394" s="19"/>
      <c r="G394" s="19"/>
      <c r="H394" s="19"/>
      <c r="I394" s="19"/>
      <c r="J394" s="19"/>
      <c r="K394" s="19"/>
      <c r="L394" s="19"/>
      <c r="M394" s="19"/>
      <c r="N394" s="19"/>
    </row>
    <row r="395" spans="1:14">
      <c r="A395" s="19">
        <v>36</v>
      </c>
      <c r="B395" s="19">
        <v>9</v>
      </c>
      <c r="C395" s="19"/>
      <c r="D395" s="46">
        <v>74.380146529735995</v>
      </c>
      <c r="E395" s="9" t="str">
        <f t="shared" si="6"/>
        <v>Non-toxic</v>
      </c>
      <c r="F395" s="19"/>
      <c r="G395" s="19"/>
      <c r="H395" s="19"/>
      <c r="I395" s="19"/>
      <c r="J395" s="19"/>
      <c r="K395" s="19"/>
      <c r="L395" s="19"/>
      <c r="M395" s="19"/>
      <c r="N395" s="19"/>
    </row>
    <row r="396" spans="1:14">
      <c r="A396" s="19">
        <v>36</v>
      </c>
      <c r="B396" s="19">
        <v>10</v>
      </c>
      <c r="C396" s="19"/>
      <c r="D396" s="46">
        <v>56.528911362599402</v>
      </c>
      <c r="E396" s="9" t="str">
        <f t="shared" si="6"/>
        <v>Toxic</v>
      </c>
      <c r="F396" s="19"/>
      <c r="G396" s="19"/>
      <c r="H396" s="19"/>
      <c r="I396" s="19"/>
      <c r="J396" s="19"/>
      <c r="K396" s="19"/>
      <c r="L396" s="19"/>
      <c r="M396" s="19"/>
      <c r="N396" s="19"/>
    </row>
    <row r="397" spans="1:14">
      <c r="A397" s="19">
        <v>36</v>
      </c>
      <c r="B397" s="19">
        <v>11</v>
      </c>
      <c r="C397" s="19"/>
      <c r="D397" s="46">
        <v>56.528911362599402</v>
      </c>
      <c r="E397" s="9" t="str">
        <f t="shared" si="6"/>
        <v>Toxic</v>
      </c>
      <c r="F397" s="19"/>
      <c r="G397" s="19"/>
      <c r="H397" s="19"/>
      <c r="I397" s="19"/>
      <c r="J397" s="19"/>
      <c r="K397" s="19"/>
      <c r="L397" s="19"/>
      <c r="M397" s="19"/>
      <c r="N397" s="19"/>
    </row>
    <row r="398" spans="1:14">
      <c r="A398" s="19">
        <v>36</v>
      </c>
      <c r="B398" s="19">
        <v>12</v>
      </c>
      <c r="C398" s="19"/>
      <c r="D398" s="46">
        <v>54.545471053832202</v>
      </c>
      <c r="E398" s="9" t="str">
        <f t="shared" si="6"/>
        <v>Toxic</v>
      </c>
      <c r="F398" s="19"/>
      <c r="G398" s="19"/>
      <c r="H398" s="19"/>
      <c r="I398" s="19"/>
      <c r="J398" s="19"/>
      <c r="K398" s="19"/>
      <c r="L398" s="19"/>
      <c r="M398" s="19"/>
      <c r="N398" s="19"/>
    </row>
    <row r="399" spans="1:14">
      <c r="A399" s="19">
        <v>36</v>
      </c>
      <c r="B399" s="19">
        <v>13</v>
      </c>
      <c r="C399" s="19"/>
      <c r="D399" s="46">
        <v>51.570265192642701</v>
      </c>
      <c r="E399" s="9" t="str">
        <f t="shared" si="6"/>
        <v>Toxic</v>
      </c>
      <c r="F399" s="19"/>
      <c r="G399" s="19"/>
      <c r="H399" s="19"/>
      <c r="I399" s="19"/>
      <c r="J399" s="19"/>
      <c r="K399" s="19"/>
      <c r="L399" s="19"/>
      <c r="M399" s="19"/>
      <c r="N399" s="19"/>
    </row>
    <row r="400" spans="1:14">
      <c r="A400" s="19">
        <v>36</v>
      </c>
      <c r="B400" s="19">
        <v>14</v>
      </c>
      <c r="C400" s="19"/>
      <c r="D400" s="46">
        <v>48.595059331453299</v>
      </c>
      <c r="E400" s="9" t="str">
        <f t="shared" si="6"/>
        <v>Toxic</v>
      </c>
      <c r="F400" s="19"/>
      <c r="G400" s="19"/>
      <c r="H400" s="19"/>
      <c r="I400" s="19"/>
      <c r="J400" s="19"/>
      <c r="K400" s="19"/>
      <c r="L400" s="19"/>
      <c r="M400" s="19"/>
      <c r="N400" s="19"/>
    </row>
    <row r="401" spans="1:14">
      <c r="A401" s="19">
        <v>36</v>
      </c>
      <c r="B401" s="19">
        <v>15</v>
      </c>
      <c r="C401" s="19"/>
      <c r="D401" s="46">
        <v>61.487602930594697</v>
      </c>
      <c r="E401" s="9" t="str">
        <f t="shared" si="6"/>
        <v>Toxic</v>
      </c>
      <c r="F401" s="19"/>
      <c r="G401" s="19"/>
      <c r="H401" s="19"/>
      <c r="I401" s="19"/>
      <c r="J401" s="19"/>
      <c r="K401" s="19"/>
      <c r="L401" s="19"/>
      <c r="M401" s="19"/>
      <c r="N401" s="19"/>
    </row>
    <row r="402" spans="1:14">
      <c r="A402" s="19">
        <v>36</v>
      </c>
      <c r="B402" s="19">
        <v>16</v>
      </c>
      <c r="C402" s="19"/>
      <c r="D402" s="46">
        <v>58.512397069405303</v>
      </c>
      <c r="E402" s="9" t="str">
        <f t="shared" si="6"/>
        <v>Toxic</v>
      </c>
      <c r="F402" s="19"/>
      <c r="G402" s="19"/>
      <c r="H402" s="19"/>
      <c r="I402" s="19"/>
      <c r="J402" s="19"/>
      <c r="K402" s="19"/>
      <c r="L402" s="19"/>
      <c r="M402" s="19"/>
      <c r="N402" s="19"/>
    </row>
    <row r="403" spans="1:14">
      <c r="A403" s="19">
        <v>36</v>
      </c>
      <c r="B403" s="19">
        <v>17</v>
      </c>
      <c r="C403" s="19"/>
      <c r="D403" s="46">
        <v>62.479323084978297</v>
      </c>
      <c r="E403" s="9" t="str">
        <f t="shared" si="6"/>
        <v>Toxic</v>
      </c>
      <c r="F403" s="19"/>
      <c r="G403" s="19"/>
      <c r="H403" s="19"/>
      <c r="I403" s="19"/>
      <c r="J403" s="19"/>
      <c r="K403" s="19"/>
      <c r="L403" s="19"/>
      <c r="M403" s="19"/>
      <c r="N403" s="19"/>
    </row>
    <row r="404" spans="1:14">
      <c r="A404" s="19">
        <v>36</v>
      </c>
      <c r="B404" s="19">
        <v>18</v>
      </c>
      <c r="C404" s="19"/>
      <c r="D404" s="46">
        <v>49.5867794858368</v>
      </c>
      <c r="E404" s="9" t="str">
        <f t="shared" si="6"/>
        <v>Toxic</v>
      </c>
      <c r="F404" s="19"/>
      <c r="G404" s="19"/>
      <c r="H404" s="19"/>
      <c r="I404" s="19"/>
      <c r="J404" s="19"/>
      <c r="K404" s="19"/>
      <c r="L404" s="19"/>
      <c r="M404" s="19"/>
      <c r="N404" s="19"/>
    </row>
    <row r="405" spans="1:14">
      <c r="A405" s="19">
        <v>36</v>
      </c>
      <c r="B405" s="19">
        <v>19</v>
      </c>
      <c r="C405" s="19"/>
      <c r="D405" s="46">
        <v>42.644647609074397</v>
      </c>
      <c r="E405" s="9" t="str">
        <f t="shared" si="6"/>
        <v>Toxic</v>
      </c>
      <c r="F405" s="19"/>
      <c r="G405" s="19"/>
      <c r="H405" s="19"/>
      <c r="I405" s="19"/>
      <c r="J405" s="19"/>
      <c r="K405" s="19"/>
      <c r="L405" s="19"/>
      <c r="M405" s="19"/>
      <c r="N405" s="19"/>
    </row>
    <row r="406" spans="1:14">
      <c r="A406" s="19">
        <v>36</v>
      </c>
      <c r="B406" s="19">
        <v>20</v>
      </c>
      <c r="C406" s="19"/>
      <c r="D406" s="46">
        <v>38.677676195462801</v>
      </c>
      <c r="E406" s="9" t="str">
        <f t="shared" si="6"/>
        <v>Toxic</v>
      </c>
      <c r="F406" s="19"/>
      <c r="G406" s="19"/>
      <c r="H406" s="19"/>
      <c r="I406" s="19"/>
      <c r="J406" s="19"/>
      <c r="K406" s="19"/>
      <c r="L406" s="19"/>
      <c r="M406" s="19"/>
      <c r="N406" s="19"/>
    </row>
    <row r="407" spans="1:14">
      <c r="A407" s="19">
        <v>36</v>
      </c>
      <c r="B407" s="19">
        <v>21</v>
      </c>
      <c r="C407" s="19"/>
      <c r="D407" s="46">
        <v>40.661161902268603</v>
      </c>
      <c r="E407" s="9" t="str">
        <f t="shared" si="6"/>
        <v>Toxic</v>
      </c>
      <c r="F407" s="19"/>
      <c r="G407" s="19"/>
      <c r="H407" s="19"/>
      <c r="I407" s="19"/>
      <c r="J407" s="19"/>
      <c r="K407" s="19"/>
      <c r="L407" s="19"/>
      <c r="M407" s="19"/>
      <c r="N407" s="19"/>
    </row>
    <row r="408" spans="1:14">
      <c r="A408" s="41">
        <v>37</v>
      </c>
      <c r="B408" s="41">
        <v>1</v>
      </c>
      <c r="C408" s="18"/>
      <c r="D408" s="18">
        <v>100</v>
      </c>
      <c r="E408" s="13" t="str">
        <f t="shared" si="6"/>
        <v>Non-toxic</v>
      </c>
      <c r="F408" s="18"/>
      <c r="G408" s="18"/>
      <c r="H408" s="18"/>
      <c r="I408" s="18"/>
      <c r="J408" s="18"/>
      <c r="K408" s="18"/>
      <c r="L408" s="18"/>
      <c r="M408" s="18"/>
      <c r="N408" s="18"/>
    </row>
    <row r="409" spans="1:14">
      <c r="A409" s="27">
        <v>37</v>
      </c>
      <c r="B409" s="27">
        <v>2</v>
      </c>
      <c r="C409" s="19"/>
      <c r="D409" s="46">
        <v>98.387099274983498</v>
      </c>
      <c r="E409" s="9" t="str">
        <f t="shared" si="6"/>
        <v>Non-toxic</v>
      </c>
      <c r="F409" s="19"/>
      <c r="G409" s="19"/>
      <c r="H409" s="19"/>
      <c r="I409" s="19"/>
      <c r="J409" s="19"/>
      <c r="K409" s="19"/>
      <c r="L409" s="19"/>
      <c r="M409" s="19"/>
      <c r="N409" s="19"/>
    </row>
    <row r="410" spans="1:14">
      <c r="A410" s="27">
        <v>37</v>
      </c>
      <c r="B410" s="27">
        <v>3</v>
      </c>
      <c r="C410" s="19"/>
      <c r="D410" s="46">
        <v>98.387099274983498</v>
      </c>
      <c r="E410" s="9" t="str">
        <f t="shared" si="6"/>
        <v>Non-toxic</v>
      </c>
      <c r="F410" s="19"/>
      <c r="G410" s="19"/>
      <c r="H410" s="19"/>
      <c r="I410" s="19"/>
      <c r="J410" s="19"/>
      <c r="K410" s="19"/>
      <c r="L410" s="19"/>
      <c r="M410" s="19"/>
      <c r="N410" s="19"/>
    </row>
    <row r="411" spans="1:14">
      <c r="A411" s="27">
        <v>37</v>
      </c>
      <c r="B411" s="27">
        <v>4</v>
      </c>
      <c r="C411" s="19"/>
      <c r="D411" s="46">
        <v>98.709674990015898</v>
      </c>
      <c r="E411" s="9" t="str">
        <f t="shared" si="6"/>
        <v>Non-toxic</v>
      </c>
      <c r="F411" s="19"/>
      <c r="G411" s="19"/>
      <c r="H411" s="19"/>
      <c r="I411" s="19"/>
      <c r="J411" s="19"/>
      <c r="K411" s="19"/>
      <c r="L411" s="19"/>
      <c r="M411" s="19"/>
      <c r="N411" s="19"/>
    </row>
    <row r="412" spans="1:14">
      <c r="A412" s="41">
        <v>38</v>
      </c>
      <c r="B412" s="41">
        <v>1</v>
      </c>
      <c r="C412" s="18"/>
      <c r="D412" s="53">
        <v>120.223853491021</v>
      </c>
      <c r="E412" s="13" t="str">
        <f t="shared" si="6"/>
        <v>Non-toxic</v>
      </c>
      <c r="F412" s="18"/>
      <c r="G412" s="18"/>
      <c r="H412" s="18"/>
      <c r="I412" s="18"/>
      <c r="J412" s="18"/>
      <c r="K412" s="18"/>
      <c r="L412" s="18"/>
      <c r="M412" s="18"/>
      <c r="N412" s="18"/>
    </row>
    <row r="413" spans="1:14">
      <c r="A413" s="27">
        <v>38</v>
      </c>
      <c r="B413" s="27">
        <v>2</v>
      </c>
      <c r="C413" s="19"/>
      <c r="D413" s="46">
        <v>116.805022350766</v>
      </c>
      <c r="E413" s="9" t="str">
        <f t="shared" si="6"/>
        <v>Non-toxic</v>
      </c>
      <c r="F413" s="19"/>
      <c r="G413" s="19"/>
      <c r="H413" s="19"/>
      <c r="I413" s="19"/>
      <c r="J413" s="19"/>
      <c r="K413" s="19"/>
      <c r="L413" s="19"/>
      <c r="M413" s="19"/>
      <c r="N413" s="19"/>
    </row>
    <row r="414" spans="1:14">
      <c r="A414" s="27">
        <v>38</v>
      </c>
      <c r="B414" s="27">
        <v>3</v>
      </c>
      <c r="C414" s="19"/>
      <c r="D414" s="46">
        <v>102.104048447671</v>
      </c>
      <c r="E414" s="9" t="str">
        <f t="shared" si="6"/>
        <v>Non-toxic</v>
      </c>
      <c r="F414" s="19"/>
      <c r="G414" s="19"/>
      <c r="H414" s="19"/>
      <c r="I414" s="19"/>
      <c r="J414" s="19"/>
      <c r="K414" s="19"/>
      <c r="L414" s="19"/>
      <c r="M414" s="19"/>
      <c r="N414" s="19"/>
    </row>
    <row r="415" spans="1:14">
      <c r="A415" s="27">
        <v>38</v>
      </c>
      <c r="B415" s="27">
        <v>4</v>
      </c>
      <c r="C415" s="19"/>
      <c r="D415" s="46">
        <v>42.913043478260803</v>
      </c>
      <c r="E415" s="9" t="str">
        <f t="shared" si="6"/>
        <v>Toxic</v>
      </c>
      <c r="F415" s="19"/>
      <c r="G415" s="19"/>
      <c r="H415" s="19"/>
      <c r="I415" s="19"/>
      <c r="J415" s="19"/>
      <c r="K415" s="19"/>
      <c r="L415" s="19"/>
      <c r="M415" s="19"/>
      <c r="N415" s="19"/>
    </row>
    <row r="416" spans="1:14">
      <c r="A416" s="27">
        <v>38</v>
      </c>
      <c r="B416" s="27">
        <v>5</v>
      </c>
      <c r="C416" s="19"/>
      <c r="D416" s="46">
        <v>42.304347826086897</v>
      </c>
      <c r="E416" s="9" t="str">
        <f t="shared" si="6"/>
        <v>Toxic</v>
      </c>
      <c r="F416" s="19"/>
      <c r="G416" s="19"/>
      <c r="H416" s="19"/>
      <c r="I416" s="19"/>
      <c r="J416" s="19"/>
      <c r="K416" s="19"/>
      <c r="L416" s="19"/>
      <c r="M416" s="19"/>
      <c r="N416" s="19"/>
    </row>
    <row r="417" spans="1:14">
      <c r="A417" s="27">
        <v>38</v>
      </c>
      <c r="B417" s="27">
        <v>6</v>
      </c>
      <c r="C417" s="19"/>
      <c r="D417" s="46">
        <v>45.956521739130402</v>
      </c>
      <c r="E417" s="9" t="str">
        <f t="shared" si="6"/>
        <v>Toxic</v>
      </c>
      <c r="F417" s="19"/>
      <c r="G417" s="19"/>
      <c r="H417" s="19"/>
      <c r="I417" s="19"/>
      <c r="J417" s="19"/>
      <c r="K417" s="19"/>
      <c r="L417" s="19"/>
      <c r="M417" s="19"/>
      <c r="N417" s="19"/>
    </row>
    <row r="418" spans="1:14">
      <c r="A418" s="41">
        <v>39</v>
      </c>
      <c r="B418" s="41">
        <v>1</v>
      </c>
      <c r="C418" s="18"/>
      <c r="D418" s="53">
        <v>95.258623506877996</v>
      </c>
      <c r="E418" s="13" t="str">
        <f t="shared" si="6"/>
        <v>Non-toxic</v>
      </c>
      <c r="F418" s="18"/>
      <c r="G418" s="18"/>
      <c r="H418" s="18"/>
      <c r="I418" s="18"/>
      <c r="J418" s="18"/>
      <c r="K418" s="18"/>
      <c r="L418" s="18"/>
      <c r="M418" s="18"/>
      <c r="N418" s="18"/>
    </row>
    <row r="419" spans="1:14">
      <c r="A419" s="27">
        <v>39</v>
      </c>
      <c r="B419" s="27">
        <v>2</v>
      </c>
      <c r="C419" s="19"/>
      <c r="D419" s="46">
        <v>93.965511110818795</v>
      </c>
      <c r="E419" s="9" t="str">
        <f t="shared" si="6"/>
        <v>Non-toxic</v>
      </c>
      <c r="F419" s="19"/>
      <c r="G419" s="19"/>
      <c r="H419" s="19"/>
      <c r="I419" s="19"/>
      <c r="J419" s="19"/>
      <c r="K419" s="19"/>
      <c r="L419" s="19"/>
      <c r="M419" s="19"/>
      <c r="N419" s="19"/>
    </row>
    <row r="420" spans="1:14">
      <c r="A420" s="27">
        <v>39</v>
      </c>
      <c r="B420" s="27">
        <v>3</v>
      </c>
      <c r="C420" s="19"/>
      <c r="D420" s="46">
        <v>93.534483237017</v>
      </c>
      <c r="E420" s="9" t="str">
        <f t="shared" si="6"/>
        <v>Non-toxic</v>
      </c>
      <c r="F420" s="19"/>
      <c r="G420" s="19"/>
      <c r="H420" s="19"/>
      <c r="I420" s="19"/>
      <c r="J420" s="19"/>
      <c r="K420" s="19"/>
      <c r="L420" s="19"/>
      <c r="M420" s="19"/>
      <c r="N420" s="19"/>
    </row>
    <row r="421" spans="1:14">
      <c r="A421" s="27">
        <v>39</v>
      </c>
      <c r="B421" s="27">
        <v>4</v>
      </c>
      <c r="C421" s="19"/>
      <c r="D421" s="46">
        <v>91.8103388564911</v>
      </c>
      <c r="E421" s="9" t="str">
        <f t="shared" si="6"/>
        <v>Non-toxic</v>
      </c>
      <c r="F421" s="19"/>
      <c r="G421" s="19"/>
      <c r="H421" s="19"/>
      <c r="I421" s="19"/>
      <c r="J421" s="19"/>
      <c r="K421" s="19"/>
      <c r="L421" s="19"/>
      <c r="M421" s="19"/>
      <c r="N421" s="19"/>
    </row>
    <row r="422" spans="1:14">
      <c r="A422" s="27">
        <v>39</v>
      </c>
      <c r="B422" s="27">
        <v>5</v>
      </c>
      <c r="C422" s="19"/>
      <c r="D422" s="46">
        <v>92.887924983654898</v>
      </c>
      <c r="E422" s="9" t="str">
        <f t="shared" si="6"/>
        <v>Non-toxic</v>
      </c>
      <c r="F422" s="19"/>
      <c r="G422" s="19"/>
      <c r="H422" s="19"/>
      <c r="I422" s="19"/>
      <c r="J422" s="19"/>
      <c r="K422" s="19"/>
      <c r="L422" s="19"/>
      <c r="M422" s="19"/>
      <c r="N422" s="19"/>
    </row>
    <row r="423" spans="1:14">
      <c r="A423" s="41">
        <v>40</v>
      </c>
      <c r="B423" s="41">
        <v>1</v>
      </c>
      <c r="C423" s="18"/>
      <c r="D423" s="53">
        <v>99.242424953958107</v>
      </c>
      <c r="E423" s="13" t="str">
        <f t="shared" si="6"/>
        <v>Non-toxic</v>
      </c>
      <c r="F423" s="18"/>
      <c r="G423" s="18"/>
      <c r="H423" s="18"/>
      <c r="I423" s="18"/>
      <c r="J423" s="18"/>
      <c r="K423" s="18"/>
      <c r="L423" s="18"/>
      <c r="M423" s="18"/>
      <c r="N423" s="18"/>
    </row>
    <row r="424" spans="1:14">
      <c r="A424" s="27">
        <v>40</v>
      </c>
      <c r="B424" s="27">
        <v>2</v>
      </c>
      <c r="C424" s="19"/>
      <c r="D424" s="46">
        <v>94.696971065303998</v>
      </c>
      <c r="E424" s="9" t="str">
        <f t="shared" si="6"/>
        <v>Non-toxic</v>
      </c>
      <c r="F424" s="19"/>
      <c r="G424" s="19"/>
      <c r="H424" s="19"/>
      <c r="I424" s="19"/>
      <c r="J424" s="19"/>
      <c r="K424" s="19"/>
      <c r="L424" s="19"/>
      <c r="M424" s="19"/>
      <c r="N424" s="19"/>
    </row>
    <row r="425" spans="1:14">
      <c r="A425" s="27">
        <v>40</v>
      </c>
      <c r="B425" s="27">
        <v>3</v>
      </c>
      <c r="C425" s="19"/>
      <c r="D425" s="46">
        <v>94.128787071470597</v>
      </c>
      <c r="E425" s="9" t="str">
        <f t="shared" si="6"/>
        <v>Non-toxic</v>
      </c>
      <c r="F425" s="19"/>
      <c r="G425" s="19"/>
      <c r="H425" s="19"/>
      <c r="I425" s="19"/>
      <c r="J425" s="19"/>
      <c r="K425" s="19"/>
      <c r="L425" s="19"/>
      <c r="M425" s="19"/>
      <c r="N425" s="19"/>
    </row>
    <row r="426" spans="1:14">
      <c r="A426" s="27">
        <v>40</v>
      </c>
      <c r="B426" s="27">
        <v>4</v>
      </c>
      <c r="C426" s="19"/>
      <c r="D426" s="46">
        <v>91.666660043928204</v>
      </c>
      <c r="E426" s="9" t="str">
        <f t="shared" si="6"/>
        <v>Non-toxic</v>
      </c>
      <c r="F426" s="19"/>
      <c r="G426" s="19"/>
      <c r="H426" s="19"/>
      <c r="I426" s="19"/>
      <c r="J426" s="19"/>
      <c r="K426" s="19"/>
      <c r="L426" s="19"/>
      <c r="M426" s="19"/>
      <c r="N426" s="19"/>
    </row>
    <row r="427" spans="1:14">
      <c r="A427" s="27">
        <v>40</v>
      </c>
      <c r="B427" s="27">
        <v>5</v>
      </c>
      <c r="C427" s="19"/>
      <c r="D427" s="46">
        <v>97.727271249471599</v>
      </c>
      <c r="E427" s="9" t="str">
        <f t="shared" si="6"/>
        <v>Non-toxic</v>
      </c>
      <c r="F427" s="19"/>
      <c r="G427" s="19"/>
      <c r="H427" s="19"/>
      <c r="I427" s="19"/>
      <c r="J427" s="19"/>
      <c r="K427" s="19"/>
      <c r="L427" s="19"/>
      <c r="M427" s="19"/>
      <c r="N427" s="19"/>
    </row>
    <row r="428" spans="1:14">
      <c r="A428" s="27">
        <v>40</v>
      </c>
      <c r="B428" s="27">
        <v>6</v>
      </c>
      <c r="C428" s="19"/>
      <c r="D428" s="46">
        <v>91.666660043928204</v>
      </c>
      <c r="E428" s="9" t="str">
        <f t="shared" si="6"/>
        <v>Non-toxic</v>
      </c>
      <c r="F428" s="19"/>
      <c r="G428" s="19"/>
      <c r="H428" s="19"/>
      <c r="I428" s="19"/>
      <c r="J428" s="19"/>
      <c r="K428" s="19"/>
      <c r="L428" s="19"/>
      <c r="M428" s="19"/>
      <c r="N428" s="19"/>
    </row>
    <row r="429" spans="1:14">
      <c r="A429" s="27">
        <v>40</v>
      </c>
      <c r="B429" s="27">
        <v>7</v>
      </c>
      <c r="C429" s="19"/>
      <c r="D429" s="46">
        <v>71.212122963589195</v>
      </c>
      <c r="E429" s="9" t="str">
        <f t="shared" si="6"/>
        <v>Non-toxic</v>
      </c>
      <c r="F429" s="19"/>
      <c r="G429" s="19"/>
      <c r="H429" s="19"/>
      <c r="I429" s="19"/>
      <c r="J429" s="19"/>
      <c r="K429" s="19"/>
      <c r="L429" s="19"/>
      <c r="M429" s="19"/>
      <c r="N429" s="19"/>
    </row>
    <row r="430" spans="1:14">
      <c r="A430" s="27">
        <v>40</v>
      </c>
      <c r="B430" s="27">
        <v>8</v>
      </c>
      <c r="C430" s="19"/>
      <c r="D430" s="46">
        <v>33.5227219772732</v>
      </c>
      <c r="E430" s="9" t="str">
        <f t="shared" si="6"/>
        <v>Toxic</v>
      </c>
      <c r="F430" s="19"/>
      <c r="G430" s="19"/>
      <c r="H430" s="19"/>
      <c r="I430" s="19"/>
      <c r="J430" s="19"/>
      <c r="K430" s="19"/>
      <c r="L430" s="19"/>
      <c r="M430" s="19"/>
      <c r="N430" s="19"/>
    </row>
    <row r="431" spans="1:14">
      <c r="A431" s="27">
        <v>40</v>
      </c>
      <c r="B431" s="27">
        <v>9</v>
      </c>
      <c r="C431" s="19"/>
      <c r="D431" s="46">
        <v>93.560599465234304</v>
      </c>
      <c r="E431" s="9" t="str">
        <f t="shared" si="6"/>
        <v>Non-toxic</v>
      </c>
      <c r="F431" s="19"/>
      <c r="G431" s="19"/>
      <c r="H431" s="19"/>
      <c r="I431" s="19"/>
      <c r="J431" s="19"/>
      <c r="K431" s="19"/>
      <c r="L431" s="19"/>
      <c r="M431" s="19"/>
      <c r="N431" s="19"/>
    </row>
    <row r="432" spans="1:14">
      <c r="A432" s="27">
        <v>40</v>
      </c>
      <c r="B432" s="27">
        <v>10</v>
      </c>
      <c r="C432" s="19"/>
      <c r="D432" s="46">
        <v>85.416665010982001</v>
      </c>
      <c r="E432" s="9" t="str">
        <f t="shared" si="6"/>
        <v>Non-toxic</v>
      </c>
      <c r="F432" s="19"/>
      <c r="G432" s="19"/>
      <c r="H432" s="19"/>
      <c r="I432" s="19"/>
      <c r="J432" s="19"/>
      <c r="K432" s="19"/>
      <c r="L432" s="19"/>
      <c r="M432" s="19"/>
      <c r="N432" s="19"/>
    </row>
    <row r="433" spans="1:14">
      <c r="A433" s="27">
        <v>40</v>
      </c>
      <c r="B433" s="27">
        <v>11</v>
      </c>
      <c r="C433" s="19"/>
      <c r="D433" s="46">
        <v>70.075758588325002</v>
      </c>
      <c r="E433" s="9" t="str">
        <f t="shared" si="6"/>
        <v>Non-toxic</v>
      </c>
      <c r="F433" s="19"/>
      <c r="G433" s="19"/>
      <c r="H433" s="19"/>
      <c r="I433" s="19"/>
      <c r="J433" s="19"/>
      <c r="K433" s="19"/>
      <c r="L433" s="19"/>
      <c r="M433" s="19"/>
      <c r="N433" s="19"/>
    </row>
    <row r="434" spans="1:14">
      <c r="A434" s="27">
        <v>40</v>
      </c>
      <c r="B434" s="27">
        <v>12</v>
      </c>
      <c r="C434" s="19"/>
      <c r="D434" s="46">
        <v>31.439391503758699</v>
      </c>
      <c r="E434" s="9" t="str">
        <f t="shared" si="6"/>
        <v>Toxic</v>
      </c>
      <c r="F434" s="19"/>
      <c r="G434" s="19"/>
      <c r="H434" s="19"/>
      <c r="I434" s="19"/>
      <c r="J434" s="19"/>
      <c r="K434" s="19"/>
      <c r="L434" s="19"/>
      <c r="M434" s="19"/>
      <c r="N434" s="19"/>
    </row>
    <row r="435" spans="1:14">
      <c r="A435" s="18">
        <v>41</v>
      </c>
      <c r="B435" s="18">
        <v>1</v>
      </c>
      <c r="C435" s="18"/>
      <c r="D435" s="70">
        <v>100.290909090909</v>
      </c>
      <c r="E435" s="13" t="str">
        <f t="shared" si="6"/>
        <v>Non-toxic</v>
      </c>
      <c r="F435" s="18"/>
      <c r="G435" s="18"/>
      <c r="H435" s="18"/>
      <c r="I435" s="18"/>
      <c r="J435" s="18"/>
      <c r="K435" s="18"/>
      <c r="L435" s="18"/>
      <c r="M435" s="18"/>
      <c r="N435" s="18"/>
    </row>
    <row r="436" spans="1:14">
      <c r="A436" s="19">
        <v>41</v>
      </c>
      <c r="B436" s="19">
        <v>2</v>
      </c>
      <c r="C436" s="19"/>
      <c r="D436" s="56">
        <v>87.054545454545405</v>
      </c>
      <c r="E436" s="9" t="str">
        <f t="shared" si="6"/>
        <v>Non-toxic</v>
      </c>
      <c r="F436" s="19"/>
      <c r="G436" s="19"/>
      <c r="H436" s="19"/>
      <c r="I436" s="19"/>
      <c r="J436" s="19"/>
      <c r="K436" s="19"/>
      <c r="L436" s="19"/>
      <c r="M436" s="19"/>
      <c r="N436" s="19"/>
    </row>
    <row r="437" spans="1:14">
      <c r="A437" s="19">
        <v>41</v>
      </c>
      <c r="B437" s="19">
        <v>3</v>
      </c>
      <c r="D437" s="56">
        <v>98.763636363636294</v>
      </c>
      <c r="E437" s="9" t="str">
        <f t="shared" si="6"/>
        <v>Non-toxic</v>
      </c>
    </row>
    <row r="438" spans="1:14">
      <c r="A438" s="19">
        <v>41</v>
      </c>
      <c r="B438" s="19">
        <v>4</v>
      </c>
      <c r="D438" s="56">
        <v>109.963636363636</v>
      </c>
      <c r="E438" s="9" t="str">
        <f t="shared" si="6"/>
        <v>Non-toxic</v>
      </c>
    </row>
    <row r="439" spans="1:14">
      <c r="A439" s="19">
        <v>41</v>
      </c>
      <c r="B439" s="19">
        <v>5</v>
      </c>
      <c r="D439" s="27">
        <v>89.6</v>
      </c>
      <c r="E439" s="9" t="str">
        <f t="shared" si="6"/>
        <v>Non-toxic</v>
      </c>
    </row>
    <row r="440" spans="1:14" s="60" customFormat="1">
      <c r="A440" s="18">
        <v>42</v>
      </c>
      <c r="B440" s="18">
        <v>1</v>
      </c>
      <c r="D440" s="18">
        <v>99.02</v>
      </c>
      <c r="E440" s="13" t="str">
        <f t="shared" si="6"/>
        <v>Non-toxic</v>
      </c>
    </row>
    <row r="441" spans="1:14">
      <c r="A441" s="19">
        <v>42</v>
      </c>
      <c r="B441" s="19">
        <v>2</v>
      </c>
      <c r="D441" s="19">
        <v>134.09</v>
      </c>
      <c r="E441" s="9" t="str">
        <f t="shared" si="6"/>
        <v>Non-toxic</v>
      </c>
    </row>
    <row r="442" spans="1:14" s="60" customFormat="1">
      <c r="D442" s="18"/>
      <c r="E442" s="1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"/>
  <sheetViews>
    <sheetView zoomScale="130" zoomScaleNormal="130" workbookViewId="0">
      <pane xSplit="1" topLeftCell="D19" activePane="topRight" state="frozen"/>
      <selection pane="topRight" activeCell="A40" sqref="A40:XFD40"/>
    </sheetView>
  </sheetViews>
  <sheetFormatPr defaultColWidth="14.42578125" defaultRowHeight="15" customHeight="1"/>
  <cols>
    <col min="1" max="1" width="10" style="20" customWidth="1"/>
    <col min="2" max="2" width="23.7109375" style="20" customWidth="1"/>
    <col min="3" max="3" width="8.7109375" style="20" customWidth="1"/>
    <col min="4" max="4" width="193.85546875" style="20" bestFit="1" customWidth="1"/>
    <col min="5" max="5" width="50" style="20" customWidth="1"/>
    <col min="6" max="6" width="8.42578125" style="20" customWidth="1"/>
    <col min="7" max="7" width="25.42578125" style="20" customWidth="1"/>
    <col min="8" max="8" width="41.28515625" bestFit="1" customWidth="1"/>
    <col min="9" max="27" width="8.7109375" customWidth="1"/>
  </cols>
  <sheetData>
    <row r="1" spans="1:7" s="50" customFormat="1" ht="31.5" customHeight="1">
      <c r="A1" s="25" t="s">
        <v>0</v>
      </c>
      <c r="B1" s="25" t="s">
        <v>300</v>
      </c>
      <c r="C1" s="25" t="s">
        <v>301</v>
      </c>
      <c r="D1" s="49" t="s">
        <v>302</v>
      </c>
      <c r="E1" s="25" t="s">
        <v>303</v>
      </c>
      <c r="F1" s="49" t="s">
        <v>304</v>
      </c>
      <c r="G1" s="25" t="s">
        <v>305</v>
      </c>
    </row>
    <row r="2" spans="1:7" ht="14.25" customHeight="1">
      <c r="A2" s="20">
        <v>1</v>
      </c>
      <c r="B2" s="20" t="s">
        <v>306</v>
      </c>
      <c r="C2" s="20">
        <v>2017</v>
      </c>
      <c r="D2" s="20" t="s">
        <v>307</v>
      </c>
      <c r="E2" s="90" t="s">
        <v>308</v>
      </c>
    </row>
    <row r="3" spans="1:7" ht="14.25" customHeight="1">
      <c r="A3" s="20">
        <v>2</v>
      </c>
      <c r="B3" s="20" t="s">
        <v>309</v>
      </c>
      <c r="C3" s="20">
        <v>2020</v>
      </c>
      <c r="D3" s="20" t="s">
        <v>310</v>
      </c>
      <c r="E3" s="91" t="s">
        <v>311</v>
      </c>
    </row>
    <row r="4" spans="1:7" ht="14.25" customHeight="1">
      <c r="A4" s="20">
        <v>3</v>
      </c>
      <c r="B4" s="20" t="s">
        <v>312</v>
      </c>
      <c r="C4" s="20">
        <v>2015</v>
      </c>
      <c r="D4" s="20" t="s">
        <v>313</v>
      </c>
      <c r="E4" s="21" t="s">
        <v>314</v>
      </c>
    </row>
    <row r="5" spans="1:7" ht="14.25" customHeight="1">
      <c r="A5" s="20">
        <v>4</v>
      </c>
      <c r="B5" s="20" t="s">
        <v>315</v>
      </c>
      <c r="C5" s="20">
        <v>2008</v>
      </c>
      <c r="D5" s="20" t="s">
        <v>316</v>
      </c>
      <c r="E5" s="90" t="s">
        <v>317</v>
      </c>
    </row>
    <row r="6" spans="1:7" ht="14.25" customHeight="1">
      <c r="A6" s="20">
        <v>5</v>
      </c>
      <c r="B6" s="20" t="s">
        <v>318</v>
      </c>
      <c r="C6" s="20">
        <v>2013</v>
      </c>
      <c r="D6" s="20" t="s">
        <v>319</v>
      </c>
      <c r="E6" s="92" t="s">
        <v>320</v>
      </c>
    </row>
    <row r="7" spans="1:7" ht="14.25" customHeight="1">
      <c r="A7" s="20">
        <v>6</v>
      </c>
      <c r="B7" s="48" t="s">
        <v>321</v>
      </c>
      <c r="C7" s="20">
        <v>1996</v>
      </c>
      <c r="D7" s="20" t="s">
        <v>322</v>
      </c>
      <c r="E7" s="90" t="s">
        <v>323</v>
      </c>
    </row>
    <row r="8" spans="1:7" ht="14.25" customHeight="1">
      <c r="A8" s="20">
        <v>7</v>
      </c>
      <c r="B8" s="20" t="s">
        <v>324</v>
      </c>
      <c r="C8" s="20">
        <v>2011</v>
      </c>
      <c r="D8" s="20" t="s">
        <v>325</v>
      </c>
      <c r="E8" s="94" t="s">
        <v>326</v>
      </c>
    </row>
    <row r="9" spans="1:7" ht="14.25" customHeight="1">
      <c r="A9" s="20">
        <v>8</v>
      </c>
      <c r="B9" s="20" t="s">
        <v>327</v>
      </c>
      <c r="C9" s="20">
        <v>2016</v>
      </c>
      <c r="D9" s="20" t="s">
        <v>328</v>
      </c>
      <c r="E9" s="92" t="s">
        <v>329</v>
      </c>
    </row>
    <row r="10" spans="1:7" ht="14.25" customHeight="1">
      <c r="A10" s="20">
        <v>9</v>
      </c>
      <c r="B10" s="20" t="s">
        <v>330</v>
      </c>
      <c r="C10" s="20">
        <v>2008</v>
      </c>
      <c r="D10" s="20" t="s">
        <v>331</v>
      </c>
      <c r="E10" s="94" t="s">
        <v>332</v>
      </c>
    </row>
    <row r="11" spans="1:7" ht="14.25" customHeight="1">
      <c r="A11" s="20">
        <v>10</v>
      </c>
      <c r="B11" s="20" t="s">
        <v>333</v>
      </c>
      <c r="C11" s="20">
        <v>2006</v>
      </c>
      <c r="D11" s="20" t="s">
        <v>334</v>
      </c>
      <c r="E11" s="94" t="s">
        <v>335</v>
      </c>
    </row>
    <row r="12" spans="1:7" ht="14.25" customHeight="1">
      <c r="A12" s="20">
        <v>11</v>
      </c>
      <c r="B12" s="20" t="s">
        <v>336</v>
      </c>
      <c r="C12" s="20">
        <v>2017</v>
      </c>
      <c r="D12" s="20" t="s">
        <v>337</v>
      </c>
      <c r="E12" s="95" t="s">
        <v>338</v>
      </c>
    </row>
    <row r="13" spans="1:7" ht="14.25" customHeight="1">
      <c r="A13" s="20">
        <v>12</v>
      </c>
      <c r="B13" s="20" t="s">
        <v>339</v>
      </c>
      <c r="C13" s="20">
        <v>2013</v>
      </c>
      <c r="D13" s="20" t="s">
        <v>340</v>
      </c>
      <c r="E13" s="92" t="s">
        <v>341</v>
      </c>
    </row>
    <row r="14" spans="1:7" ht="14.25" customHeight="1">
      <c r="A14" s="20">
        <v>13</v>
      </c>
      <c r="B14" s="20" t="s">
        <v>342</v>
      </c>
      <c r="C14" s="20">
        <v>2015</v>
      </c>
      <c r="D14" s="20" t="s">
        <v>343</v>
      </c>
      <c r="E14" s="95" t="s">
        <v>344</v>
      </c>
    </row>
    <row r="15" spans="1:7" ht="14.25" customHeight="1">
      <c r="A15" s="20">
        <v>14</v>
      </c>
      <c r="B15" s="20" t="s">
        <v>345</v>
      </c>
      <c r="C15" s="20">
        <v>2006</v>
      </c>
      <c r="D15" s="20" t="s">
        <v>346</v>
      </c>
      <c r="E15" s="94" t="s">
        <v>347</v>
      </c>
    </row>
    <row r="16" spans="1:7" ht="15" customHeight="1">
      <c r="A16" s="20">
        <v>15</v>
      </c>
      <c r="B16" s="20" t="s">
        <v>333</v>
      </c>
      <c r="C16" s="20">
        <v>2013</v>
      </c>
      <c r="D16" s="24" t="s">
        <v>348</v>
      </c>
      <c r="E16" s="94" t="s">
        <v>349</v>
      </c>
    </row>
    <row r="17" spans="1:5" ht="15" customHeight="1">
      <c r="A17" s="20">
        <v>16</v>
      </c>
      <c r="B17" s="35" t="s">
        <v>350</v>
      </c>
      <c r="C17" s="20">
        <v>2019</v>
      </c>
      <c r="D17" s="35" t="s">
        <v>351</v>
      </c>
      <c r="E17" s="36" t="s">
        <v>352</v>
      </c>
    </row>
    <row r="18" spans="1:5" ht="15" customHeight="1">
      <c r="A18" s="20">
        <v>17</v>
      </c>
      <c r="B18" s="20" t="s">
        <v>353</v>
      </c>
      <c r="C18" s="20">
        <v>2008</v>
      </c>
      <c r="D18" s="20" t="s">
        <v>354</v>
      </c>
      <c r="E18" s="94" t="s">
        <v>355</v>
      </c>
    </row>
    <row r="19" spans="1:5" ht="15" customHeight="1">
      <c r="A19" s="20">
        <v>18</v>
      </c>
      <c r="B19" s="20" t="s">
        <v>356</v>
      </c>
      <c r="C19" s="20">
        <v>2015</v>
      </c>
      <c r="D19" s="20" t="s">
        <v>357</v>
      </c>
      <c r="E19" s="94" t="s">
        <v>358</v>
      </c>
    </row>
    <row r="20" spans="1:5" ht="15" customHeight="1">
      <c r="A20" s="20">
        <v>19</v>
      </c>
      <c r="B20" s="20" t="s">
        <v>359</v>
      </c>
      <c r="C20" s="20">
        <v>2021</v>
      </c>
      <c r="D20" s="20" t="s">
        <v>360</v>
      </c>
      <c r="E20" s="92" t="s">
        <v>361</v>
      </c>
    </row>
    <row r="21" spans="1:5" ht="15" customHeight="1">
      <c r="A21" s="20">
        <v>20</v>
      </c>
      <c r="B21" s="20" t="s">
        <v>362</v>
      </c>
      <c r="C21" s="20">
        <v>2016</v>
      </c>
      <c r="D21" s="24" t="s">
        <v>363</v>
      </c>
      <c r="E21" s="94" t="s">
        <v>364</v>
      </c>
    </row>
    <row r="22" spans="1:5" ht="15" customHeight="1">
      <c r="A22" s="20">
        <v>21</v>
      </c>
      <c r="B22" s="20" t="s">
        <v>306</v>
      </c>
      <c r="C22" s="20">
        <v>2019</v>
      </c>
      <c r="D22" s="20" t="s">
        <v>365</v>
      </c>
      <c r="E22" s="92" t="s">
        <v>366</v>
      </c>
    </row>
    <row r="23" spans="1:5" ht="15" customHeight="1">
      <c r="A23" s="20">
        <v>22</v>
      </c>
      <c r="B23" s="20" t="s">
        <v>367</v>
      </c>
      <c r="C23" s="20">
        <v>2020</v>
      </c>
      <c r="D23" s="20" t="s">
        <v>368</v>
      </c>
      <c r="E23" s="94" t="s">
        <v>369</v>
      </c>
    </row>
    <row r="24" spans="1:5" ht="15" customHeight="1">
      <c r="A24" s="20">
        <v>23</v>
      </c>
      <c r="B24" s="20" t="s">
        <v>370</v>
      </c>
      <c r="C24" s="20">
        <v>2019</v>
      </c>
      <c r="D24" s="20" t="s">
        <v>371</v>
      </c>
      <c r="E24" s="92" t="s">
        <v>372</v>
      </c>
    </row>
    <row r="25" spans="1:5" ht="15" customHeight="1">
      <c r="A25" s="20">
        <v>24</v>
      </c>
      <c r="B25" s="27" t="s">
        <v>373</v>
      </c>
      <c r="C25" s="20">
        <v>2016</v>
      </c>
      <c r="D25" s="20" t="s">
        <v>374</v>
      </c>
      <c r="E25" s="101" t="s">
        <v>375</v>
      </c>
    </row>
    <row r="26" spans="1:5" ht="15" customHeight="1">
      <c r="A26" s="20">
        <v>25</v>
      </c>
      <c r="B26" s="20" t="s">
        <v>376</v>
      </c>
      <c r="C26" s="20">
        <v>2014</v>
      </c>
      <c r="D26" s="20" t="s">
        <v>377</v>
      </c>
      <c r="E26" s="94" t="s">
        <v>378</v>
      </c>
    </row>
    <row r="27" spans="1:5" ht="15" customHeight="1">
      <c r="A27" s="20">
        <v>26</v>
      </c>
      <c r="B27" s="20" t="s">
        <v>356</v>
      </c>
      <c r="C27" s="20">
        <v>2016</v>
      </c>
      <c r="D27" s="20" t="s">
        <v>379</v>
      </c>
      <c r="E27" s="94" t="s">
        <v>380</v>
      </c>
    </row>
    <row r="28" spans="1:5" ht="15" customHeight="1">
      <c r="A28" s="20">
        <v>27</v>
      </c>
      <c r="B28" s="20" t="s">
        <v>381</v>
      </c>
      <c r="C28" s="20">
        <v>2021</v>
      </c>
      <c r="D28" s="20" t="s">
        <v>382</v>
      </c>
      <c r="E28" s="92" t="s">
        <v>383</v>
      </c>
    </row>
    <row r="29" spans="1:5" ht="15" customHeight="1">
      <c r="A29" s="20">
        <v>28</v>
      </c>
      <c r="B29" s="20" t="s">
        <v>384</v>
      </c>
      <c r="C29" s="20">
        <v>2017</v>
      </c>
      <c r="D29" s="20" t="s">
        <v>385</v>
      </c>
      <c r="E29" s="94" t="s">
        <v>386</v>
      </c>
    </row>
    <row r="30" spans="1:5" ht="15" customHeight="1">
      <c r="A30" s="20">
        <v>29</v>
      </c>
      <c r="B30" s="20" t="s">
        <v>384</v>
      </c>
      <c r="C30" s="20">
        <v>2021</v>
      </c>
      <c r="D30" s="20" t="s">
        <v>387</v>
      </c>
      <c r="E30" s="92" t="s">
        <v>388</v>
      </c>
    </row>
    <row r="31" spans="1:5" ht="15" customHeight="1">
      <c r="A31" s="20">
        <v>30</v>
      </c>
      <c r="B31" s="20" t="s">
        <v>389</v>
      </c>
      <c r="C31" s="20">
        <v>2022</v>
      </c>
      <c r="D31" s="20" t="s">
        <v>390</v>
      </c>
      <c r="E31" s="92" t="s">
        <v>391</v>
      </c>
    </row>
    <row r="32" spans="1:5" ht="15" customHeight="1">
      <c r="A32" s="20">
        <v>31</v>
      </c>
      <c r="B32" s="20" t="s">
        <v>392</v>
      </c>
      <c r="C32" s="20">
        <v>2012</v>
      </c>
      <c r="D32" s="20" t="s">
        <v>393</v>
      </c>
      <c r="E32" s="94" t="s">
        <v>394</v>
      </c>
    </row>
    <row r="33" spans="1:5" ht="15" customHeight="1">
      <c r="A33" s="20">
        <v>32</v>
      </c>
      <c r="B33" s="20" t="s">
        <v>318</v>
      </c>
      <c r="C33" s="20">
        <v>2024</v>
      </c>
      <c r="D33" s="20" t="s">
        <v>395</v>
      </c>
      <c r="E33" s="92" t="s">
        <v>396</v>
      </c>
    </row>
    <row r="34" spans="1:5" ht="15" customHeight="1">
      <c r="A34" s="20">
        <v>33</v>
      </c>
      <c r="B34" s="20" t="s">
        <v>397</v>
      </c>
      <c r="C34" s="20">
        <v>2018</v>
      </c>
      <c r="D34" s="20" t="s">
        <v>398</v>
      </c>
      <c r="E34" s="92" t="s">
        <v>399</v>
      </c>
    </row>
    <row r="35" spans="1:5" ht="15" customHeight="1">
      <c r="A35" s="20">
        <v>34</v>
      </c>
      <c r="B35" s="20" t="s">
        <v>400</v>
      </c>
      <c r="C35" s="20">
        <v>2022</v>
      </c>
      <c r="D35" s="20" t="s">
        <v>401</v>
      </c>
      <c r="E35" s="92" t="s">
        <v>402</v>
      </c>
    </row>
    <row r="36" spans="1:5" ht="15" customHeight="1">
      <c r="A36" s="20">
        <v>35</v>
      </c>
      <c r="B36" s="20" t="s">
        <v>403</v>
      </c>
      <c r="C36" s="20">
        <v>2022</v>
      </c>
      <c r="D36" s="20" t="s">
        <v>404</v>
      </c>
      <c r="E36" s="94" t="s">
        <v>405</v>
      </c>
    </row>
    <row r="37" spans="1:5" ht="15" customHeight="1">
      <c r="A37" s="20">
        <v>36</v>
      </c>
      <c r="B37" s="20" t="s">
        <v>406</v>
      </c>
      <c r="C37" s="20">
        <v>2019</v>
      </c>
      <c r="D37" s="20" t="s">
        <v>407</v>
      </c>
      <c r="E37" s="92" t="s">
        <v>408</v>
      </c>
    </row>
    <row r="38" spans="1:5" ht="15" customHeight="1">
      <c r="A38" s="20">
        <v>37</v>
      </c>
      <c r="B38" s="20" t="s">
        <v>409</v>
      </c>
      <c r="C38" s="20">
        <v>2024</v>
      </c>
      <c r="D38" s="20" t="s">
        <v>410</v>
      </c>
      <c r="E38" s="92" t="s">
        <v>411</v>
      </c>
    </row>
    <row r="39" spans="1:5" ht="15" customHeight="1">
      <c r="A39" s="20">
        <v>38</v>
      </c>
      <c r="B39" s="20" t="s">
        <v>412</v>
      </c>
      <c r="C39" s="20">
        <v>2021</v>
      </c>
      <c r="D39" s="20" t="s">
        <v>413</v>
      </c>
      <c r="E39" s="92" t="s">
        <v>414</v>
      </c>
    </row>
    <row r="40" spans="1:5" ht="15" customHeight="1">
      <c r="A40" s="20">
        <v>39</v>
      </c>
      <c r="B40" s="20" t="s">
        <v>415</v>
      </c>
      <c r="C40" s="20">
        <v>2023</v>
      </c>
      <c r="D40" s="20" t="s">
        <v>416</v>
      </c>
      <c r="E40" s="92" t="s">
        <v>417</v>
      </c>
    </row>
    <row r="41" spans="1:5" ht="15" customHeight="1">
      <c r="A41" s="20">
        <v>40</v>
      </c>
      <c r="B41" s="20" t="s">
        <v>418</v>
      </c>
      <c r="C41" s="20">
        <v>2022</v>
      </c>
      <c r="D41" s="20" t="s">
        <v>419</v>
      </c>
      <c r="E41" s="92" t="s">
        <v>420</v>
      </c>
    </row>
    <row r="42" spans="1:5" ht="15" customHeight="1">
      <c r="A42" s="20">
        <v>41</v>
      </c>
      <c r="B42" s="20" t="s">
        <v>421</v>
      </c>
      <c r="C42" s="20">
        <v>2016</v>
      </c>
      <c r="D42" s="24" t="s">
        <v>422</v>
      </c>
      <c r="E42" s="94" t="s">
        <v>423</v>
      </c>
    </row>
    <row r="43" spans="1:5" ht="15" customHeight="1">
      <c r="A43" s="20">
        <v>42</v>
      </c>
      <c r="B43" s="20" t="s">
        <v>424</v>
      </c>
      <c r="C43" s="20">
        <v>2013</v>
      </c>
      <c r="D43" s="20" t="s">
        <v>425</v>
      </c>
      <c r="E43" s="92" t="s">
        <v>426</v>
      </c>
    </row>
  </sheetData>
  <hyperlinks>
    <hyperlink ref="E2" r:id="rId1" xr:uid="{00000000-0004-0000-0B00-000000000000}"/>
    <hyperlink ref="E3" r:id="rId2" xr:uid="{00000000-0004-0000-0B00-000001000000}"/>
    <hyperlink ref="E4" r:id="rId3" xr:uid="{00000000-0004-0000-0B00-000002000000}"/>
    <hyperlink ref="E5" r:id="rId4" xr:uid="{00000000-0004-0000-0B00-000003000000}"/>
    <hyperlink ref="E7" r:id="rId5" xr:uid="{00000000-0004-0000-0B00-000005000000}"/>
    <hyperlink ref="E12" r:id="rId6" xr:uid="{00000000-0004-0000-0B00-000007000000}"/>
    <hyperlink ref="E13" r:id="rId7" xr:uid="{00000000-0004-0000-0B00-000008000000}"/>
    <hyperlink ref="E14" r:id="rId8" xr:uid="{00000000-0004-0000-0B00-000009000000}"/>
    <hyperlink ref="E17" r:id="rId9" xr:uid="{BDAB3FBC-3029-4AF4-ADD3-0050B1DF5CF7}"/>
    <hyperlink ref="E20" r:id="rId10" xr:uid="{274F913F-D517-4D3E-8869-B6FDB3903076}"/>
    <hyperlink ref="E22" r:id="rId11" xr:uid="{296BAA04-B115-4971-ADF3-6A0504FA823A}"/>
    <hyperlink ref="E24" r:id="rId12" xr:uid="{E301F9AD-296C-44DA-B2E4-8517BE9AED5E}"/>
    <hyperlink ref="E25" r:id="rId13" xr:uid="{4B81D06C-E179-4FE1-891F-AF98243F1FBF}"/>
    <hyperlink ref="E28" r:id="rId14" xr:uid="{CF6F6867-44EE-41D7-BD98-7EEB902B83D5}"/>
    <hyperlink ref="E30" r:id="rId15" xr:uid="{0BC8B750-86D2-4142-8577-DC363D3A63C7}"/>
    <hyperlink ref="E31" r:id="rId16" xr:uid="{49596352-BC65-47F4-8EC8-0DCFE23A4486}"/>
    <hyperlink ref="E33" r:id="rId17" xr:uid="{45174DE1-A7B6-453B-A49B-AE2EC71A5049}"/>
    <hyperlink ref="E34" r:id="rId18" xr:uid="{A04DBAE9-22E0-4BC1-9886-65D404B967A2}"/>
    <hyperlink ref="E35" r:id="rId19" xr:uid="{F560F55A-074A-4E07-8B45-5A52C255F1BC}"/>
    <hyperlink ref="E37" r:id="rId20" xr:uid="{6F45C9BE-E5B4-4678-9759-E54F42E85E9C}"/>
    <hyperlink ref="E38" r:id="rId21" xr:uid="{FE649771-3F70-49C7-B449-A439D6CE3B23}"/>
    <hyperlink ref="E39" r:id="rId22" xr:uid="{C162FA3A-65EA-4C2B-BB75-86782AF8A740}"/>
    <hyperlink ref="E40" r:id="rId23" xr:uid="{4093E424-8D3D-42C6-B0EC-DEB220CFEF1F}"/>
    <hyperlink ref="E41" r:id="rId24" xr:uid="{1EFA22DE-0708-45F5-8D62-599CE85F2E24}"/>
    <hyperlink ref="E6" r:id="rId25" xr:uid="{00000000-0004-0000-0B00-000004000000}"/>
    <hyperlink ref="E9" r:id="rId26" xr:uid="{00000000-0004-0000-0B00-000006000000}"/>
    <hyperlink ref="E43" r:id="rId27" xr:uid="{54863F3F-02C5-4BB1-AEC8-B3FC9F996848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1"/>
  <sheetViews>
    <sheetView workbookViewId="0">
      <selection activeCell="A40" sqref="A40"/>
    </sheetView>
  </sheetViews>
  <sheetFormatPr defaultColWidth="14.42578125" defaultRowHeight="15" customHeight="1"/>
  <cols>
    <col min="1" max="1" width="148.28515625" style="3" bestFit="1" customWidth="1"/>
    <col min="2" max="2" width="36.28515625" style="3" bestFit="1" customWidth="1"/>
    <col min="3" max="3" width="8.85546875" style="3" customWidth="1"/>
    <col min="4" max="4" width="25.140625" style="3" bestFit="1" customWidth="1"/>
    <col min="5" max="6" width="8.85546875" style="3" customWidth="1"/>
    <col min="7" max="26" width="8.7109375" style="3" customWidth="1"/>
  </cols>
  <sheetData>
    <row r="1" spans="1:4" ht="14.25" customHeight="1">
      <c r="B1" s="1" t="s">
        <v>427</v>
      </c>
      <c r="D1" s="1" t="s">
        <v>428</v>
      </c>
    </row>
    <row r="2" spans="1:4" ht="14.25" customHeight="1">
      <c r="A2" s="3" t="s">
        <v>429</v>
      </c>
      <c r="B2" s="27" t="s">
        <v>181</v>
      </c>
      <c r="D2" s="3" t="s">
        <v>430</v>
      </c>
    </row>
    <row r="3" spans="1:4" ht="14.25" customHeight="1">
      <c r="A3" s="3" t="s">
        <v>40</v>
      </c>
      <c r="B3" s="3" t="s">
        <v>431</v>
      </c>
    </row>
    <row r="4" spans="1:4" ht="14.25" customHeight="1">
      <c r="A4" s="3" t="s">
        <v>42</v>
      </c>
      <c r="B4" s="3" t="s">
        <v>432</v>
      </c>
    </row>
    <row r="5" spans="1:4" ht="14.25" customHeight="1">
      <c r="A5" s="3" t="s">
        <v>433</v>
      </c>
      <c r="B5" s="3" t="s">
        <v>44</v>
      </c>
    </row>
    <row r="6" spans="1:4" ht="14.25" customHeight="1">
      <c r="A6" s="3" t="s">
        <v>434</v>
      </c>
      <c r="B6" s="3" t="s">
        <v>53</v>
      </c>
    </row>
    <row r="7" spans="1:4" ht="14.25" customHeight="1">
      <c r="A7" s="3" t="s">
        <v>435</v>
      </c>
      <c r="B7" s="3" t="s">
        <v>54</v>
      </c>
      <c r="D7" s="3" t="s">
        <v>436</v>
      </c>
    </row>
    <row r="8" spans="1:4" ht="14.25" customHeight="1">
      <c r="A8" s="3" t="s">
        <v>437</v>
      </c>
      <c r="B8" s="3" t="s">
        <v>58</v>
      </c>
    </row>
    <row r="9" spans="1:4" ht="14.25" customHeight="1">
      <c r="A9" s="3" t="s">
        <v>438</v>
      </c>
      <c r="B9" s="3" t="s">
        <v>64</v>
      </c>
    </row>
    <row r="10" spans="1:4" ht="14.25" customHeight="1">
      <c r="A10" s="3" t="s">
        <v>439</v>
      </c>
      <c r="B10" s="3" t="s">
        <v>68</v>
      </c>
    </row>
    <row r="11" spans="1:4" ht="14.25" customHeight="1">
      <c r="A11" s="3" t="s">
        <v>440</v>
      </c>
      <c r="B11" s="3" t="s">
        <v>70</v>
      </c>
    </row>
    <row r="12" spans="1:4" ht="14.25" customHeight="1">
      <c r="A12" s="3" t="s">
        <v>441</v>
      </c>
      <c r="B12" s="3" t="s">
        <v>71</v>
      </c>
    </row>
    <row r="13" spans="1:4" ht="14.25" customHeight="1">
      <c r="A13" s="3" t="s">
        <v>442</v>
      </c>
      <c r="B13" s="3" t="s">
        <v>443</v>
      </c>
    </row>
    <row r="14" spans="1:4" ht="14.25" customHeight="1">
      <c r="A14" s="3" t="s">
        <v>444</v>
      </c>
      <c r="B14" s="3" t="s">
        <v>74</v>
      </c>
    </row>
    <row r="15" spans="1:4" ht="15" customHeight="1">
      <c r="A15" s="3" t="s">
        <v>445</v>
      </c>
      <c r="B15" s="3" t="s">
        <v>88</v>
      </c>
    </row>
    <row r="16" spans="1:4" ht="15" customHeight="1">
      <c r="A16" s="19" t="s">
        <v>446</v>
      </c>
      <c r="B16" s="3" t="s">
        <v>94</v>
      </c>
    </row>
    <row r="17" spans="1:4" ht="15" customHeight="1">
      <c r="A17" s="3" t="s">
        <v>447</v>
      </c>
      <c r="B17" s="3" t="s">
        <v>95</v>
      </c>
    </row>
    <row r="18" spans="1:4" ht="15" customHeight="1">
      <c r="A18" s="3" t="s">
        <v>448</v>
      </c>
      <c r="B18" s="3" t="s">
        <v>97</v>
      </c>
    </row>
    <row r="19" spans="1:4" ht="15" customHeight="1">
      <c r="A19" s="3" t="s">
        <v>449</v>
      </c>
      <c r="B19" s="3" t="s">
        <v>99</v>
      </c>
    </row>
    <row r="20" spans="1:4" ht="15" customHeight="1">
      <c r="A20" s="3" t="s">
        <v>450</v>
      </c>
      <c r="B20" s="19" t="s">
        <v>252</v>
      </c>
      <c r="D20" s="3" t="s">
        <v>430</v>
      </c>
    </row>
    <row r="21" spans="1:4" ht="15" customHeight="1">
      <c r="A21" s="3" t="s">
        <v>451</v>
      </c>
      <c r="B21" s="19" t="s">
        <v>259</v>
      </c>
      <c r="D21" s="3" t="s">
        <v>430</v>
      </c>
    </row>
    <row r="22" spans="1:4" ht="15" customHeight="1">
      <c r="A22" s="67" t="s">
        <v>452</v>
      </c>
      <c r="B22" s="3" t="s">
        <v>263</v>
      </c>
      <c r="D22" s="3" t="s">
        <v>453</v>
      </c>
    </row>
    <row r="23" spans="1:4" ht="15" customHeight="1">
      <c r="A23" s="3" t="s">
        <v>454</v>
      </c>
      <c r="B23" s="3" t="s">
        <v>115</v>
      </c>
    </row>
    <row r="24" spans="1:4" ht="15" customHeight="1">
      <c r="A24" s="3" t="s">
        <v>455</v>
      </c>
      <c r="B24" s="3" t="s">
        <v>49</v>
      </c>
    </row>
    <row r="25" spans="1:4" ht="15" customHeight="1">
      <c r="A25" s="3" t="s">
        <v>456</v>
      </c>
      <c r="B25" s="3" t="s">
        <v>113</v>
      </c>
    </row>
    <row r="26" spans="1:4" ht="15" customHeight="1">
      <c r="A26" s="3" t="s">
        <v>457</v>
      </c>
      <c r="B26" s="3" t="s">
        <v>119</v>
      </c>
    </row>
    <row r="27" spans="1:4" ht="15" customHeight="1">
      <c r="A27" s="3" t="s">
        <v>458</v>
      </c>
      <c r="B27" s="3" t="s">
        <v>120</v>
      </c>
    </row>
    <row r="28" spans="1:4" ht="15" customHeight="1">
      <c r="A28" s="3" t="s">
        <v>459</v>
      </c>
      <c r="B28" s="3" t="s">
        <v>460</v>
      </c>
    </row>
    <row r="29" spans="1:4" ht="15" customHeight="1">
      <c r="A29" s="3" t="s">
        <v>461</v>
      </c>
      <c r="B29" s="3" t="s">
        <v>123</v>
      </c>
    </row>
    <row r="30" spans="1:4" ht="15" customHeight="1">
      <c r="A30" s="3" t="s">
        <v>462</v>
      </c>
      <c r="B30" s="3" t="s">
        <v>121</v>
      </c>
    </row>
    <row r="31" spans="1:4" ht="15" customHeight="1">
      <c r="A31" s="3" t="s">
        <v>463</v>
      </c>
      <c r="B31" s="3" t="s">
        <v>125</v>
      </c>
    </row>
    <row r="32" spans="1:4" ht="15" customHeight="1">
      <c r="A32" s="3" t="s">
        <v>464</v>
      </c>
      <c r="B32" s="19" t="s">
        <v>269</v>
      </c>
      <c r="D32" s="3" t="s">
        <v>465</v>
      </c>
    </row>
    <row r="33" spans="1:4" ht="15" customHeight="1">
      <c r="A33" s="3" t="s">
        <v>466</v>
      </c>
      <c r="B33" s="19" t="s">
        <v>268</v>
      </c>
      <c r="D33" s="3" t="s">
        <v>430</v>
      </c>
    </row>
    <row r="34" spans="1:4" ht="15" customHeight="1">
      <c r="A34" s="3" t="s">
        <v>467</v>
      </c>
      <c r="B34" s="3" t="s">
        <v>126</v>
      </c>
    </row>
    <row r="35" spans="1:4" ht="15" customHeight="1">
      <c r="A35" s="3" t="s">
        <v>468</v>
      </c>
      <c r="B35" s="3" t="s">
        <v>127</v>
      </c>
    </row>
    <row r="36" spans="1:4" ht="15" customHeight="1">
      <c r="A36" s="3" t="s">
        <v>469</v>
      </c>
      <c r="B36" s="3" t="s">
        <v>74</v>
      </c>
    </row>
    <row r="37" spans="1:4" ht="15" customHeight="1">
      <c r="A37" s="3" t="s">
        <v>470</v>
      </c>
      <c r="B37" s="3" t="s">
        <v>129</v>
      </c>
    </row>
    <row r="38" spans="1:4" ht="15" customHeight="1">
      <c r="A38" s="3" t="s">
        <v>471</v>
      </c>
      <c r="B38" s="3" t="s">
        <v>85</v>
      </c>
    </row>
    <row r="39" spans="1:4" ht="15" customHeight="1">
      <c r="A39" s="73" t="s">
        <v>472</v>
      </c>
      <c r="B39" s="3" t="s">
        <v>473</v>
      </c>
    </row>
    <row r="40" spans="1:4" ht="15" customHeight="1">
      <c r="A40" s="3" t="s">
        <v>474</v>
      </c>
      <c r="B40" s="3" t="s">
        <v>137</v>
      </c>
    </row>
    <row r="41" spans="1:4" ht="15" customHeight="1">
      <c r="A41" s="3" t="s">
        <v>475</v>
      </c>
      <c r="B41" s="3" t="s">
        <v>47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Κωνσταντίνα _</dc:creator>
  <cp:keywords/>
  <dc:description/>
  <cp:lastModifiedBy/>
  <cp:revision/>
  <dcterms:created xsi:type="dcterms:W3CDTF">2025-04-04T06:44:01Z</dcterms:created>
  <dcterms:modified xsi:type="dcterms:W3CDTF">2025-09-20T15:22:55Z</dcterms:modified>
  <cp:category/>
  <cp:contentStatus/>
</cp:coreProperties>
</file>